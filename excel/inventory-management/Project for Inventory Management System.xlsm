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C:\Users\redwo\Downloads\"/>
    </mc:Choice>
  </mc:AlternateContent>
  <xr:revisionPtr revIDLastSave="0" documentId="13_ncr:1_{9E57E128-6730-4A71-92A9-7A7FAF3B06E7}" xr6:coauthVersionLast="47" xr6:coauthVersionMax="47" xr10:uidLastSave="{00000000-0000-0000-0000-000000000000}"/>
  <bookViews>
    <workbookView xWindow="-38510" yWindow="-9250" windowWidth="38620" windowHeight="21100" activeTab="6" xr2:uid="{00000000-000D-0000-FFFF-FFFF00000000}"/>
  </bookViews>
  <sheets>
    <sheet name="Dashboard" sheetId="5" r:id="rId1"/>
    <sheet name="ProductDatabase" sheetId="1" r:id="rId2"/>
    <sheet name="Transaction_Log" sheetId="2" r:id="rId3"/>
    <sheet name="SupplierTable" sheetId="3" r:id="rId4"/>
    <sheet name="Sale Summary" sheetId="4" r:id="rId5"/>
    <sheet name="Pivot Table" sheetId="6" r:id="rId6"/>
    <sheet name="Low_Stock_Report" sheetId="7" r:id="rId7"/>
  </sheets>
  <definedNames>
    <definedName name="_xlcn.WorksheetConnection_ProjectforInventoryManagementSystem.xlsxInventoryTable1" hidden="1">InventoryTable[]</definedName>
    <definedName name="_xlcn.WorksheetConnection_ProjectforInventoryManagementSystem.xlsxSalesSummaryTable1" hidden="1">SalesSummaryTable[]</definedName>
    <definedName name="Slicer_Category">#N/A</definedName>
    <definedName name="Slicer_Supplier">#N/A</definedName>
  </definedNames>
  <calcPr calcId="191029"/>
  <pivotCaches>
    <pivotCache cacheId="0" r:id="rId8"/>
    <pivotCache cacheId="1" r:id="rId9"/>
  </pivotCaches>
  <fileRecoveryPr autoRecover="0"/>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alesSummaryTable" name="SalesSummaryTable" connection="WorksheetConnection_Project for Inventory Management System.xlsx!SalesSummaryTable"/>
          <x15:modelTable id="InventoryTable" name="InventoryTable" connection="WorksheetConnection_Project for Inventory Management System.xlsx!InventoryTable"/>
        </x15:modelTables>
        <x15:modelRelationships>
          <x15:modelRelationship fromTable="SalesSummaryTable" fromColumn="Product ID" toTable="InventoryTable" toColumn="Product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 l="1"/>
  <c r="I49" i="1"/>
  <c r="AH5" i="5"/>
  <c r="F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AH7" i="5"/>
  <c r="H2" i="4"/>
  <c r="I2" i="4" s="1"/>
  <c r="H20" i="4"/>
  <c r="I20" i="4" s="1"/>
  <c r="H5" i="4"/>
  <c r="I5" i="4" s="1"/>
  <c r="H12" i="4"/>
  <c r="I12" i="4" s="1"/>
  <c r="H3" i="4"/>
  <c r="I3" i="4" s="1"/>
  <c r="H101" i="4"/>
  <c r="I101" i="4" s="1"/>
  <c r="H26" i="4"/>
  <c r="I26" i="4" s="1"/>
  <c r="H53" i="4"/>
  <c r="I53" i="4" s="1"/>
  <c r="H91" i="4"/>
  <c r="I91" i="4" s="1"/>
  <c r="H79" i="4"/>
  <c r="I79" i="4" s="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H19" i="4"/>
  <c r="I19" i="4" s="1"/>
  <c r="H22" i="4"/>
  <c r="I22" i="4" s="1"/>
  <c r="H85" i="4"/>
  <c r="I85" i="4" s="1"/>
  <c r="H31" i="4"/>
  <c r="I31" i="4" s="1"/>
  <c r="H8" i="4"/>
  <c r="I8" i="4" s="1"/>
  <c r="H61" i="4"/>
  <c r="I61" i="4" s="1"/>
  <c r="H100" i="4"/>
  <c r="I100" i="4" s="1"/>
  <c r="H89" i="4"/>
  <c r="I89" i="4" s="1"/>
  <c r="H37" i="4"/>
  <c r="I37" i="4" s="1"/>
  <c r="H44" i="4"/>
  <c r="I44" i="4" s="1"/>
  <c r="H83" i="4"/>
  <c r="I83" i="4" s="1"/>
  <c r="H76" i="4"/>
  <c r="I76" i="4" s="1"/>
  <c r="H50" i="4"/>
  <c r="I50" i="4" s="1"/>
  <c r="H46" i="4"/>
  <c r="I46" i="4" s="1"/>
  <c r="H97" i="4"/>
  <c r="I97" i="4" s="1"/>
  <c r="H30" i="4"/>
  <c r="I30" i="4" s="1"/>
  <c r="H10" i="4"/>
  <c r="I10" i="4" s="1"/>
  <c r="H59" i="4"/>
  <c r="I59" i="4" s="1"/>
  <c r="H32" i="4"/>
  <c r="I32" i="4" s="1"/>
  <c r="H27" i="4"/>
  <c r="I27" i="4" s="1"/>
  <c r="H77" i="4"/>
  <c r="I77" i="4" s="1"/>
  <c r="H66" i="4"/>
  <c r="I66" i="4" s="1"/>
  <c r="H38" i="4"/>
  <c r="I38" i="4" s="1"/>
  <c r="H18" i="4"/>
  <c r="I18" i="4" s="1"/>
  <c r="H34" i="4"/>
  <c r="I34" i="4" s="1"/>
  <c r="H52" i="4"/>
  <c r="I52" i="4" s="1"/>
  <c r="H21" i="4"/>
  <c r="I21" i="4" s="1"/>
  <c r="H28" i="4"/>
  <c r="I28" i="4" s="1"/>
  <c r="H65" i="4"/>
  <c r="I65" i="4" s="1"/>
  <c r="H90" i="4"/>
  <c r="I90" i="4" s="1"/>
  <c r="H93" i="4"/>
  <c r="I93" i="4" s="1"/>
  <c r="H92" i="4"/>
  <c r="I92" i="4" s="1"/>
  <c r="H58" i="4"/>
  <c r="I58" i="4" s="1"/>
  <c r="H47" i="4"/>
  <c r="I47" i="4" s="1"/>
  <c r="H98" i="4"/>
  <c r="I98" i="4" s="1"/>
  <c r="H35" i="4"/>
  <c r="I35" i="4" s="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50" i="1"/>
  <c r="I51" i="1"/>
  <c r="H72" i="4" l="1"/>
  <c r="I72" i="4" s="1"/>
  <c r="H41" i="4"/>
  <c r="I41" i="4" s="1"/>
  <c r="H33" i="4"/>
  <c r="I33" i="4" s="1"/>
  <c r="H95" i="4"/>
  <c r="I95" i="4" s="1"/>
  <c r="H63" i="4"/>
  <c r="I63" i="4" s="1"/>
  <c r="H84" i="4"/>
  <c r="I84" i="4" s="1"/>
  <c r="H60" i="4"/>
  <c r="I60" i="4" s="1"/>
  <c r="H81" i="4"/>
  <c r="I81" i="4" s="1"/>
  <c r="H57" i="4"/>
  <c r="I57" i="4" s="1"/>
  <c r="H25" i="4"/>
  <c r="I25" i="4" s="1"/>
  <c r="H80" i="4"/>
  <c r="I80" i="4" s="1"/>
  <c r="H55" i="4"/>
  <c r="I55" i="4" s="1"/>
  <c r="H17" i="4"/>
  <c r="I17" i="4" s="1"/>
  <c r="H49" i="4"/>
  <c r="I49" i="4" s="1"/>
  <c r="H15" i="4"/>
  <c r="I15" i="4" s="1"/>
  <c r="H73" i="4"/>
  <c r="I73" i="4" s="1"/>
  <c r="H9" i="4"/>
  <c r="I9" i="4" s="1"/>
  <c r="H96" i="4"/>
  <c r="I96" i="4" s="1"/>
  <c r="H88" i="4"/>
  <c r="I88" i="4" s="1"/>
  <c r="H64" i="4"/>
  <c r="I64" i="4" s="1"/>
  <c r="H56" i="4"/>
  <c r="I56" i="4" s="1"/>
  <c r="H48" i="4"/>
  <c r="I48" i="4" s="1"/>
  <c r="H40" i="4"/>
  <c r="I40" i="4" s="1"/>
  <c r="H24" i="4"/>
  <c r="I24" i="4" s="1"/>
  <c r="H16" i="4"/>
  <c r="I16" i="4" s="1"/>
  <c r="H87" i="4"/>
  <c r="I87" i="4" s="1"/>
  <c r="H71" i="4"/>
  <c r="I71" i="4" s="1"/>
  <c r="H23" i="4"/>
  <c r="I23" i="4" s="1"/>
  <c r="H7" i="4"/>
  <c r="I7" i="4" s="1"/>
  <c r="H94" i="4"/>
  <c r="I94" i="4" s="1"/>
  <c r="H86" i="4"/>
  <c r="I86" i="4" s="1"/>
  <c r="H78" i="4"/>
  <c r="I78" i="4" s="1"/>
  <c r="H70" i="4"/>
  <c r="I70" i="4" s="1"/>
  <c r="H62" i="4"/>
  <c r="I62" i="4" s="1"/>
  <c r="H54" i="4"/>
  <c r="I54" i="4" s="1"/>
  <c r="H14" i="4"/>
  <c r="I14" i="4" s="1"/>
  <c r="H6" i="4"/>
  <c r="I6" i="4" s="1"/>
  <c r="H39" i="4"/>
  <c r="I39" i="4" s="1"/>
  <c r="H69" i="4"/>
  <c r="I69" i="4" s="1"/>
  <c r="H45" i="4"/>
  <c r="I45" i="4" s="1"/>
  <c r="H29" i="4"/>
  <c r="I29" i="4" s="1"/>
  <c r="H13" i="4"/>
  <c r="I13" i="4" s="1"/>
  <c r="H4" i="4"/>
  <c r="I4" i="4" s="1"/>
  <c r="H68" i="4"/>
  <c r="I68" i="4" s="1"/>
  <c r="H36" i="4"/>
  <c r="I36" i="4" s="1"/>
  <c r="H99" i="4"/>
  <c r="I99" i="4" s="1"/>
  <c r="H75" i="4"/>
  <c r="I75" i="4" s="1"/>
  <c r="H67" i="4"/>
  <c r="I67" i="4" s="1"/>
  <c r="H51" i="4"/>
  <c r="I51" i="4" s="1"/>
  <c r="H43" i="4"/>
  <c r="I43" i="4" s="1"/>
  <c r="H11" i="4"/>
  <c r="I11" i="4" s="1"/>
  <c r="H82" i="4"/>
  <c r="I82" i="4" s="1"/>
  <c r="H74" i="4"/>
  <c r="I74" i="4" s="1"/>
  <c r="H42" i="4"/>
  <c r="I42"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F9B293-AF18-4774-9C9F-D3E96E07DCA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F11CB0E-7EE9-41EE-A6D1-208644B3B1D0}" name="WorksheetConnection_Project for Inventory Management System.xlsx!InventoryTable" type="102" refreshedVersion="8" minRefreshableVersion="5">
    <extLst>
      <ext xmlns:x15="http://schemas.microsoft.com/office/spreadsheetml/2010/11/main" uri="{DE250136-89BD-433C-8126-D09CA5730AF9}">
        <x15:connection id="InventoryTable">
          <x15:rangePr sourceName="_xlcn.WorksheetConnection_ProjectforInventoryManagementSystem.xlsxInventoryTable1"/>
        </x15:connection>
      </ext>
    </extLst>
  </connection>
  <connection id="3" xr16:uid="{39A39AFB-C3DB-430F-840C-AB9869A94095}" name="WorksheetConnection_Project for Inventory Management System.xlsx!SalesSummaryTable" type="102" refreshedVersion="8" minRefreshableVersion="5">
    <extLst>
      <ext xmlns:x15="http://schemas.microsoft.com/office/spreadsheetml/2010/11/main" uri="{DE250136-89BD-433C-8126-D09CA5730AF9}">
        <x15:connection id="SalesSummaryTable">
          <x15:rangePr sourceName="_xlcn.WorksheetConnection_ProjectforInventoryManagementSystem.xlsxSalesSummaryTable1"/>
        </x15:connection>
      </ext>
    </extLst>
  </connection>
</connections>
</file>

<file path=xl/sharedStrings.xml><?xml version="1.0" encoding="utf-8"?>
<sst xmlns="http://schemas.openxmlformats.org/spreadsheetml/2006/main" count="1322" uniqueCount="380">
  <si>
    <t>Product ID</t>
  </si>
  <si>
    <t>Product Name</t>
  </si>
  <si>
    <t>Category</t>
  </si>
  <si>
    <t>Supplier</t>
  </si>
  <si>
    <t>Cost Price (€)</t>
  </si>
  <si>
    <t>Selling Price (€)</t>
  </si>
  <si>
    <t>Stock Quantity</t>
  </si>
  <si>
    <t>Reorder Level</t>
  </si>
  <si>
    <t>P001</t>
  </si>
  <si>
    <t>P002</t>
  </si>
  <si>
    <t>P003</t>
  </si>
  <si>
    <t>P004</t>
  </si>
  <si>
    <t>P005</t>
  </si>
  <si>
    <t>P006</t>
  </si>
  <si>
    <t>P007</t>
  </si>
  <si>
    <t>P008</t>
  </si>
  <si>
    <t>P009</t>
  </si>
  <si>
    <t>P010</t>
  </si>
  <si>
    <t>P011</t>
  </si>
  <si>
    <t>P012</t>
  </si>
  <si>
    <t>P013</t>
  </si>
  <si>
    <t>P014</t>
  </si>
  <si>
    <t>P015</t>
  </si>
  <si>
    <t>P016</t>
  </si>
  <si>
    <t>P017</t>
  </si>
  <si>
    <t>P018</t>
  </si>
  <si>
    <t>P019</t>
  </si>
  <si>
    <t>P020</t>
  </si>
  <si>
    <t>P021</t>
  </si>
  <si>
    <t>P022</t>
  </si>
  <si>
    <t>P023</t>
  </si>
  <si>
    <t>P024</t>
  </si>
  <si>
    <t>P025</t>
  </si>
  <si>
    <t>P026</t>
  </si>
  <si>
    <t>P027</t>
  </si>
  <si>
    <t>P028</t>
  </si>
  <si>
    <t>P029</t>
  </si>
  <si>
    <t>P030</t>
  </si>
  <si>
    <t>P031</t>
  </si>
  <si>
    <t>P032</t>
  </si>
  <si>
    <t>P033</t>
  </si>
  <si>
    <t>P034</t>
  </si>
  <si>
    <t>P035</t>
  </si>
  <si>
    <t>P036</t>
  </si>
  <si>
    <t>P037</t>
  </si>
  <si>
    <t>P038</t>
  </si>
  <si>
    <t>P039</t>
  </si>
  <si>
    <t>P040</t>
  </si>
  <si>
    <t>P041</t>
  </si>
  <si>
    <t>P042</t>
  </si>
  <si>
    <t>P043</t>
  </si>
  <si>
    <t>P044</t>
  </si>
  <si>
    <t>P045</t>
  </si>
  <si>
    <t>P046</t>
  </si>
  <si>
    <t>P047</t>
  </si>
  <si>
    <t>P048</t>
  </si>
  <si>
    <t>P049</t>
  </si>
  <si>
    <t>P050</t>
  </si>
  <si>
    <t>LED Panel</t>
  </si>
  <si>
    <t>Smartphone</t>
  </si>
  <si>
    <t>Cooling Pad</t>
  </si>
  <si>
    <t>Modem</t>
  </si>
  <si>
    <t>Tablet</t>
  </si>
  <si>
    <t>Wireless Earbuds</t>
  </si>
  <si>
    <t>VR Headset</t>
  </si>
  <si>
    <t>Webcam</t>
  </si>
  <si>
    <t>Mechanical Keyboard</t>
  </si>
  <si>
    <t>Hard Drive Enclosure</t>
  </si>
  <si>
    <t>Label Printer</t>
  </si>
  <si>
    <t>RAM Module</t>
  </si>
  <si>
    <t>Graphic Tablet</t>
  </si>
  <si>
    <t>Smartwatch</t>
  </si>
  <si>
    <t>Monitor</t>
  </si>
  <si>
    <t>Printer</t>
  </si>
  <si>
    <t>Laptop</t>
  </si>
  <si>
    <t>CCTV Camera</t>
  </si>
  <si>
    <t>Thermal Printer</t>
  </si>
  <si>
    <t>Surge Protector</t>
  </si>
  <si>
    <t>Gaming Mouse</t>
  </si>
  <si>
    <t>Projector</t>
  </si>
  <si>
    <t>Wireless Charger</t>
  </si>
  <si>
    <t>Pen Drive</t>
  </si>
  <si>
    <t>Headphones</t>
  </si>
  <si>
    <t>NAS Storage</t>
  </si>
  <si>
    <t>Whiteboard</t>
  </si>
  <si>
    <t>Tripod</t>
  </si>
  <si>
    <t>Smart Doorbell</t>
  </si>
  <si>
    <t>Fingerprint Scanner</t>
  </si>
  <si>
    <t>External HDD</t>
  </si>
  <si>
    <t>Accessories</t>
  </si>
  <si>
    <t>Electronics</t>
  </si>
  <si>
    <t>Networking</t>
  </si>
  <si>
    <t>Office Supplies</t>
  </si>
  <si>
    <t>Storage</t>
  </si>
  <si>
    <t>Print Solutions</t>
  </si>
  <si>
    <t>Office Essentials</t>
  </si>
  <si>
    <t>TechCorp</t>
  </si>
  <si>
    <t>Display World</t>
  </si>
  <si>
    <t>StoragePro</t>
  </si>
  <si>
    <t>NetConnect</t>
  </si>
  <si>
    <t>Gadgets Ltd</t>
  </si>
  <si>
    <t>Transaction ID</t>
  </si>
  <si>
    <t>Date</t>
  </si>
  <si>
    <t>Transaction Type</t>
  </si>
  <si>
    <t>Quantity</t>
  </si>
  <si>
    <t>New Stock Level</t>
  </si>
  <si>
    <t>T001</t>
  </si>
  <si>
    <t>2025-02-16</t>
  </si>
  <si>
    <t>Stock Out</t>
  </si>
  <si>
    <t>T002</t>
  </si>
  <si>
    <t>2024-12-21</t>
  </si>
  <si>
    <t>Stock In</t>
  </si>
  <si>
    <t>T003</t>
  </si>
  <si>
    <t>2024-12-18</t>
  </si>
  <si>
    <t>T004</t>
  </si>
  <si>
    <t>2024-12-12</t>
  </si>
  <si>
    <t>T005</t>
  </si>
  <si>
    <t>2025-02-27</t>
  </si>
  <si>
    <t>T006</t>
  </si>
  <si>
    <t>2024-12-27</t>
  </si>
  <si>
    <t>T007</t>
  </si>
  <si>
    <t>2025-01-25</t>
  </si>
  <si>
    <t>T008</t>
  </si>
  <si>
    <t>2024-12-30</t>
  </si>
  <si>
    <t>T009</t>
  </si>
  <si>
    <t>2024-12-24</t>
  </si>
  <si>
    <t>T010</t>
  </si>
  <si>
    <t>2025-02-13</t>
  </si>
  <si>
    <t>T011</t>
  </si>
  <si>
    <t>2025-02-14</t>
  </si>
  <si>
    <t>T012</t>
  </si>
  <si>
    <t>2024-12-01</t>
  </si>
  <si>
    <t>T013</t>
  </si>
  <si>
    <t>2025-02-22</t>
  </si>
  <si>
    <t>T014</t>
  </si>
  <si>
    <t>2024-12-14</t>
  </si>
  <si>
    <t>T015</t>
  </si>
  <si>
    <t>2025-01-20</t>
  </si>
  <si>
    <t>T016</t>
  </si>
  <si>
    <t>2025-02-05</t>
  </si>
  <si>
    <t>T017</t>
  </si>
  <si>
    <t>2025-01-14</t>
  </si>
  <si>
    <t>T018</t>
  </si>
  <si>
    <t>2025-01-31</t>
  </si>
  <si>
    <t>T019</t>
  </si>
  <si>
    <t>2025-01-28</t>
  </si>
  <si>
    <t>T020</t>
  </si>
  <si>
    <t>2024-12-04</t>
  </si>
  <si>
    <t>T021</t>
  </si>
  <si>
    <t>T022</t>
  </si>
  <si>
    <t>2024-12-11</t>
  </si>
  <si>
    <t>T023</t>
  </si>
  <si>
    <t>2025-01-04</t>
  </si>
  <si>
    <t>T024</t>
  </si>
  <si>
    <t>T025</t>
  </si>
  <si>
    <t>2024-12-26</t>
  </si>
  <si>
    <t>T026</t>
  </si>
  <si>
    <t>2024-12-13</t>
  </si>
  <si>
    <t>T027</t>
  </si>
  <si>
    <t>2025-02-19</t>
  </si>
  <si>
    <t>T028</t>
  </si>
  <si>
    <t>T029</t>
  </si>
  <si>
    <t>2025-01-22</t>
  </si>
  <si>
    <t>T030</t>
  </si>
  <si>
    <t>2025-01-10</t>
  </si>
  <si>
    <t>T031</t>
  </si>
  <si>
    <t>T032</t>
  </si>
  <si>
    <t>T033</t>
  </si>
  <si>
    <t>T034</t>
  </si>
  <si>
    <t>2025-02-24</t>
  </si>
  <si>
    <t>T035</t>
  </si>
  <si>
    <t>2025-01-23</t>
  </si>
  <si>
    <t>T036</t>
  </si>
  <si>
    <t>2024-12-15</t>
  </si>
  <si>
    <t>T037</t>
  </si>
  <si>
    <t>T038</t>
  </si>
  <si>
    <t>T039</t>
  </si>
  <si>
    <t>T040</t>
  </si>
  <si>
    <t>2025-01-09</t>
  </si>
  <si>
    <t>T041</t>
  </si>
  <si>
    <t>2025-02-07</t>
  </si>
  <si>
    <t>T042</t>
  </si>
  <si>
    <t>2025-01-06</t>
  </si>
  <si>
    <t>T043</t>
  </si>
  <si>
    <t>T044</t>
  </si>
  <si>
    <t>2025-01-29</t>
  </si>
  <si>
    <t>T045</t>
  </si>
  <si>
    <t>2024-12-05</t>
  </si>
  <si>
    <t>T046</t>
  </si>
  <si>
    <t>2024-12-08</t>
  </si>
  <si>
    <t>T047</t>
  </si>
  <si>
    <t>2024-12-06</t>
  </si>
  <si>
    <t>T048</t>
  </si>
  <si>
    <t>2025-02-06</t>
  </si>
  <si>
    <t>T049</t>
  </si>
  <si>
    <t>2024-12-09</t>
  </si>
  <si>
    <t>T050</t>
  </si>
  <si>
    <t>T051</t>
  </si>
  <si>
    <t>T052</t>
  </si>
  <si>
    <t>2025-01-26</t>
  </si>
  <si>
    <t>T053</t>
  </si>
  <si>
    <t>T054</t>
  </si>
  <si>
    <t>2025-01-07</t>
  </si>
  <si>
    <t>T055</t>
  </si>
  <si>
    <t>2025-02-21</t>
  </si>
  <si>
    <t>T056</t>
  </si>
  <si>
    <t>2024-12-19</t>
  </si>
  <si>
    <t>T057</t>
  </si>
  <si>
    <t>2025-02-17</t>
  </si>
  <si>
    <t>T058</t>
  </si>
  <si>
    <t>T059</t>
  </si>
  <si>
    <t>T060</t>
  </si>
  <si>
    <t>T061</t>
  </si>
  <si>
    <t>T062</t>
  </si>
  <si>
    <t>2025-02-08</t>
  </si>
  <si>
    <t>T063</t>
  </si>
  <si>
    <t>2025-02-03</t>
  </si>
  <si>
    <t>T064</t>
  </si>
  <si>
    <t>2025-01-03</t>
  </si>
  <si>
    <t>T065</t>
  </si>
  <si>
    <t>T066</t>
  </si>
  <si>
    <t>2025-02-23</t>
  </si>
  <si>
    <t>T067</t>
  </si>
  <si>
    <t>T068</t>
  </si>
  <si>
    <t>T069</t>
  </si>
  <si>
    <t>T070</t>
  </si>
  <si>
    <t>T071</t>
  </si>
  <si>
    <t>T072</t>
  </si>
  <si>
    <t>2024-12-10</t>
  </si>
  <si>
    <t>T073</t>
  </si>
  <si>
    <t>T074</t>
  </si>
  <si>
    <t>T075</t>
  </si>
  <si>
    <t>T076</t>
  </si>
  <si>
    <t>T077</t>
  </si>
  <si>
    <t>2025-01-12</t>
  </si>
  <si>
    <t>T078</t>
  </si>
  <si>
    <t>T079</t>
  </si>
  <si>
    <t>T080</t>
  </si>
  <si>
    <t>T081</t>
  </si>
  <si>
    <t>2025-01-11</t>
  </si>
  <si>
    <t>T082</t>
  </si>
  <si>
    <t>T083</t>
  </si>
  <si>
    <t>T084</t>
  </si>
  <si>
    <t>T085</t>
  </si>
  <si>
    <t>2025-01-02</t>
  </si>
  <si>
    <t>T086</t>
  </si>
  <si>
    <t>T087</t>
  </si>
  <si>
    <t>2025-02-18</t>
  </si>
  <si>
    <t>T088</t>
  </si>
  <si>
    <t>T089</t>
  </si>
  <si>
    <t>T090</t>
  </si>
  <si>
    <t>T091</t>
  </si>
  <si>
    <t>T092</t>
  </si>
  <si>
    <t>2024-12-29</t>
  </si>
  <si>
    <t>T093</t>
  </si>
  <si>
    <t>T094</t>
  </si>
  <si>
    <t>2024-12-22</t>
  </si>
  <si>
    <t>T095</t>
  </si>
  <si>
    <t>2025-01-19</t>
  </si>
  <si>
    <t>T096</t>
  </si>
  <si>
    <t>T097</t>
  </si>
  <si>
    <t>2024-12-07</t>
  </si>
  <si>
    <t>T098</t>
  </si>
  <si>
    <t>T099</t>
  </si>
  <si>
    <t>2025-02-10</t>
  </si>
  <si>
    <t>T100</t>
  </si>
  <si>
    <t>Current Stock</t>
  </si>
  <si>
    <t>Supplier ID</t>
  </si>
  <si>
    <t>Supplier Name</t>
  </si>
  <si>
    <t>Contact Person</t>
  </si>
  <si>
    <t>Email</t>
  </si>
  <si>
    <t>Phone Number</t>
  </si>
  <si>
    <t>Address</t>
  </si>
  <si>
    <t>Total Products Supplied</t>
  </si>
  <si>
    <t>S001</t>
  </si>
  <si>
    <t>John Smith</t>
  </si>
  <si>
    <t>contact@techcorp.com</t>
  </si>
  <si>
    <t>+49 1523 123456</t>
  </si>
  <si>
    <t>Berlin, Germany</t>
  </si>
  <si>
    <t>S002</t>
  </si>
  <si>
    <t>Emma Johnson</t>
  </si>
  <si>
    <t>support@gadgets.com</t>
  </si>
  <si>
    <t>+49 1524 234567</t>
  </si>
  <si>
    <t>Hamburg, Germany</t>
  </si>
  <si>
    <t>S003</t>
  </si>
  <si>
    <t>Michael Lee</t>
  </si>
  <si>
    <t>info@displayworld.com</t>
  </si>
  <si>
    <t>+49 1525 345678</t>
  </si>
  <si>
    <t>Munich, Germany</t>
  </si>
  <si>
    <t>S004</t>
  </si>
  <si>
    <t>Sophia Brown</t>
  </si>
  <si>
    <t>sales@printsolutions.com</t>
  </si>
  <si>
    <t>+49 1526 456789</t>
  </si>
  <si>
    <t>Frankfurt, Germany</t>
  </si>
  <si>
    <t>S005</t>
  </si>
  <si>
    <t>Daniel White</t>
  </si>
  <si>
    <t>hello@storagepro.com</t>
  </si>
  <si>
    <t>+49 1527 567890</t>
  </si>
  <si>
    <t>Cologne, Germany</t>
  </si>
  <si>
    <t>S006</t>
  </si>
  <si>
    <t>Olivia Harris</t>
  </si>
  <si>
    <t>service@netconnect.com</t>
  </si>
  <si>
    <t>+49 1528 678901</t>
  </si>
  <si>
    <t>Stuttgart, Germany</t>
  </si>
  <si>
    <t>S007</t>
  </si>
  <si>
    <t>James Martin</t>
  </si>
  <si>
    <t>admin@officeessentials.com</t>
  </si>
  <si>
    <t>+49 1529 789012</t>
  </si>
  <si>
    <t>Düsseldorf, Germany</t>
  </si>
  <si>
    <t>S008</t>
  </si>
  <si>
    <t>AudioGear</t>
  </si>
  <si>
    <t>Emily Walker</t>
  </si>
  <si>
    <t>help@audiogear.com</t>
  </si>
  <si>
    <t>+49 1530 890123</t>
  </si>
  <si>
    <t>Leipzig, Germany</t>
  </si>
  <si>
    <t>S009</t>
  </si>
  <si>
    <t>SmartTech</t>
  </si>
  <si>
    <t>Robert Lewis</t>
  </si>
  <si>
    <t>support@smarttech.com</t>
  </si>
  <si>
    <t>+49 1531 901234</t>
  </si>
  <si>
    <t>Dortmund, Germany</t>
  </si>
  <si>
    <t>S010</t>
  </si>
  <si>
    <t>NetSolutions</t>
  </si>
  <si>
    <t>Isabella Scott</t>
  </si>
  <si>
    <t>info@netsolutions.com</t>
  </si>
  <si>
    <t>+49 1532 012345</t>
  </si>
  <si>
    <t>Essen, Germany</t>
  </si>
  <si>
    <t>Transaction Date</t>
  </si>
  <si>
    <t>Quantity Sold</t>
  </si>
  <si>
    <t>Total Sales (€)</t>
  </si>
  <si>
    <t>2024-12-17</t>
  </si>
  <si>
    <t>Bluetooth Speaker</t>
  </si>
  <si>
    <t>2025-02-20</t>
  </si>
  <si>
    <t>2024-12-25</t>
  </si>
  <si>
    <t>2025-02-09</t>
  </si>
  <si>
    <t>Desk Lamp</t>
  </si>
  <si>
    <t>2025-02-04</t>
  </si>
  <si>
    <t>2025-01-08</t>
  </si>
  <si>
    <t>Mouse</t>
  </si>
  <si>
    <t>Scanner</t>
  </si>
  <si>
    <t>Router</t>
  </si>
  <si>
    <t>2024-12-16</t>
  </si>
  <si>
    <t>2025-02-26</t>
  </si>
  <si>
    <t>2025-01-21</t>
  </si>
  <si>
    <t>2025-02-25</t>
  </si>
  <si>
    <t>Ethernet Cable</t>
  </si>
  <si>
    <t>2025-01-18</t>
  </si>
  <si>
    <t>Server Rack</t>
  </si>
  <si>
    <t>2025-01-05</t>
  </si>
  <si>
    <t>SSD</t>
  </si>
  <si>
    <t>WiFi Extender</t>
  </si>
  <si>
    <t>2025-02-28</t>
  </si>
  <si>
    <t>2025-01-16</t>
  </si>
  <si>
    <t>2025-01-17</t>
  </si>
  <si>
    <t>Game Controller</t>
  </si>
  <si>
    <t>Power Bank</t>
  </si>
  <si>
    <t>2025-01-15</t>
  </si>
  <si>
    <t>2024-12-31</t>
  </si>
  <si>
    <t>2025-02-02</t>
  </si>
  <si>
    <t>Laptop Stand</t>
  </si>
  <si>
    <t>USB Drive</t>
  </si>
  <si>
    <t>2025-02-01</t>
  </si>
  <si>
    <t>2025-02-12</t>
  </si>
  <si>
    <t>2025-01-01</t>
  </si>
  <si>
    <t>2025-01-24</t>
  </si>
  <si>
    <t>Microphone</t>
  </si>
  <si>
    <t>2024-12-23</t>
  </si>
  <si>
    <t>2024-12-03</t>
  </si>
  <si>
    <t>Grand Total</t>
  </si>
  <si>
    <t>Sum of Quantity Sold</t>
  </si>
  <si>
    <t>Sum of Total Sales (€)</t>
  </si>
  <si>
    <t>Month-Year</t>
  </si>
  <si>
    <t>Feb-2025</t>
  </si>
  <si>
    <t>Dec-2024</t>
  </si>
  <si>
    <t>Jan-2025</t>
  </si>
  <si>
    <t>Total Units Sold</t>
  </si>
  <si>
    <t>Month</t>
  </si>
  <si>
    <t>Product Category</t>
  </si>
  <si>
    <t>Sum of Current Stock</t>
  </si>
  <si>
    <t>Inventory Management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</si>
</sst>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2]\ * #,##0.00_);_([$€-2]\ * \(#,##0.00\);_([$€-2]\ * &quot;-&quot;??_);_(@_)"/>
  </numFmts>
  <fonts count="7" x14ac:knownFonts="1">
    <font>
      <sz val="11"/>
      <color theme="1"/>
      <name val="Calibri"/>
      <family val="2"/>
      <scheme val="minor"/>
    </font>
    <font>
      <b/>
      <sz val="11"/>
      <color theme="1"/>
      <name val="Calibri"/>
      <family val="2"/>
      <scheme val="minor"/>
    </font>
    <font>
      <b/>
      <sz val="11"/>
      <color theme="0"/>
      <name val="Calibri"/>
      <family val="2"/>
      <scheme val="minor"/>
    </font>
    <font>
      <b/>
      <sz val="24"/>
      <color theme="1"/>
      <name val="Times New Roman"/>
      <family val="1"/>
    </font>
    <font>
      <b/>
      <sz val="12"/>
      <color rgb="FFFFFFFF"/>
      <name val="Calibri"/>
      <family val="2"/>
      <scheme val="minor"/>
    </font>
    <font>
      <b/>
      <sz val="12"/>
      <name val="Times New Roman"/>
      <family val="1"/>
    </font>
    <font>
      <b/>
      <sz val="11"/>
      <color theme="1"/>
      <name val="Times New Roman"/>
      <family val="1"/>
    </font>
  </fonts>
  <fills count="7">
    <fill>
      <patternFill patternType="none"/>
    </fill>
    <fill>
      <patternFill patternType="gray125"/>
    </fill>
    <fill>
      <patternFill patternType="solid">
        <fgColor theme="4"/>
        <bgColor theme="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007BB8"/>
        <bgColor indexed="64"/>
      </patternFill>
    </fill>
    <fill>
      <patternFill patternType="solid">
        <fgColor rgb="FFFF000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16">
    <xf numFmtId="0" fontId="0" fillId="0" borderId="0" xfId="0"/>
    <xf numFmtId="0" fontId="1" fillId="0" borderId="2" xfId="0" applyFont="1" applyBorder="1" applyAlignment="1">
      <alignment horizontal="center" vertical="top"/>
    </xf>
    <xf numFmtId="1" fontId="0" fillId="0" borderId="0" xfId="0" applyNumberFormat="1"/>
    <xf numFmtId="0" fontId="0" fillId="0" borderId="0" xfId="0" applyAlignment="1">
      <alignment horizontal="center"/>
    </xf>
    <xf numFmtId="0" fontId="2" fillId="2" borderId="1" xfId="0" applyFont="1" applyFill="1" applyBorder="1" applyAlignment="1">
      <alignment horizontal="center" vertical="top"/>
    </xf>
    <xf numFmtId="1" fontId="0" fillId="0" borderId="0" xfId="0" applyNumberFormat="1" applyAlignment="1">
      <alignment horizontal="right"/>
    </xf>
    <xf numFmtId="0" fontId="0" fillId="0" borderId="0" xfId="0" pivotButton="1"/>
    <xf numFmtId="0" fontId="0" fillId="0" borderId="0" xfId="0" applyAlignment="1">
      <alignment horizontal="left"/>
    </xf>
    <xf numFmtId="14" fontId="0" fillId="0" borderId="0" xfId="0" applyNumberFormat="1"/>
    <xf numFmtId="0" fontId="0" fillId="4" borderId="0" xfId="0" applyFill="1"/>
    <xf numFmtId="164" fontId="0" fillId="3" borderId="0" xfId="0" applyNumberFormat="1" applyFill="1"/>
    <xf numFmtId="1" fontId="0" fillId="3" borderId="0" xfId="0" applyNumberFormat="1" applyFill="1"/>
    <xf numFmtId="0" fontId="4" fillId="5" borderId="0" xfId="0" applyFont="1" applyFill="1" applyAlignment="1">
      <alignment horizontal="center" vertical="center"/>
    </xf>
    <xf numFmtId="0" fontId="3" fillId="3" borderId="0" xfId="0" applyFont="1" applyFill="1" applyAlignment="1">
      <alignment horizontal="center"/>
    </xf>
    <xf numFmtId="0" fontId="0" fillId="6" borderId="0" xfId="0" applyFill="1"/>
    <xf numFmtId="0" fontId="0" fillId="0" borderId="0" xfId="0" applyFill="1"/>
  </cellXfs>
  <cellStyles count="1">
    <cellStyle name="Normal" xfId="0" builtinId="0"/>
  </cellStyles>
  <dxfs count="22">
    <dxf>
      <numFmt numFmtId="1" formatCode="0"/>
    </dxf>
    <dxf>
      <numFmt numFmtId="1" formatCode="0"/>
      <alignment horizontal="right" vertical="bottom" textRotation="0" wrapText="0" relativeIndent="-1" justifyLastLine="0" shrinkToFit="0" readingOrder="0"/>
    </dxf>
    <dxf>
      <numFmt numFmtId="0" formatCode="General"/>
    </dxf>
    <dxf>
      <numFmt numFmtId="0" formatCode="General"/>
    </dxf>
    <dxf>
      <numFmt numFmtId="19" formatCode="m/d/yyyy"/>
    </dxf>
    <dxf>
      <numFmt numFmtId="19" formatCode="m/d/yyyy"/>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alignment horizontal="center" textRotation="0" wrapText="0" indent="0" justifyLastLine="0" shrinkToFit="0" readingOrder="0"/>
    </dxf>
    <dxf>
      <numFmt numFmtId="0" formatCode="General"/>
    </dxf>
    <dxf>
      <numFmt numFmtId="1" formatCode="0"/>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 Type="http://schemas.openxmlformats.org/officeDocument/2006/relationships/worksheet" Target="worksheets/sheet3.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customXml" Target="../customXml/item7.xml"/><Relationship Id="rId32"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10" Type="http://schemas.microsoft.com/office/2007/relationships/slicerCache" Target="slicerCaches/slicerCache1.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microsoft.com/office/2006/relationships/vbaProject" Target="vbaProject.bin"/><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Table!SalesperMonth</c:name>
    <c:fmtId val="8"/>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b="1"/>
              <a:t>Monthly Sales Trend</a:t>
            </a:r>
          </a:p>
        </c:rich>
      </c:tx>
      <c:layout>
        <c:manualLayout>
          <c:xMode val="edge"/>
          <c:yMode val="edge"/>
          <c:x val="0.3414726274560686"/>
          <c:y val="5.5105180817915003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81691609740835"/>
          <c:y val="0.15219175956470157"/>
          <c:w val="0.78884666527611202"/>
          <c:h val="0.6291884207417493"/>
        </c:manualLayout>
      </c:layout>
      <c:lineChart>
        <c:grouping val="standard"/>
        <c:varyColors val="0"/>
        <c:ser>
          <c:idx val="0"/>
          <c:order val="0"/>
          <c:tx>
            <c:strRef>
              <c:f>'Pivot Table'!$H$1</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Table'!$G$2:$G$5</c:f>
              <c:strCache>
                <c:ptCount val="3"/>
                <c:pt idx="0">
                  <c:v>Dec-2024</c:v>
                </c:pt>
                <c:pt idx="1">
                  <c:v>Feb-2025</c:v>
                </c:pt>
                <c:pt idx="2">
                  <c:v>Jan-2025</c:v>
                </c:pt>
              </c:strCache>
            </c:strRef>
          </c:cat>
          <c:val>
            <c:numRef>
              <c:f>'Pivot Table'!$H$2:$H$5</c:f>
              <c:numCache>
                <c:formatCode>0</c:formatCode>
                <c:ptCount val="3"/>
                <c:pt idx="0">
                  <c:v>88257.91</c:v>
                </c:pt>
                <c:pt idx="1">
                  <c:v>66260.91</c:v>
                </c:pt>
                <c:pt idx="2">
                  <c:v>125799.88999999998</c:v>
                </c:pt>
              </c:numCache>
            </c:numRef>
          </c:val>
          <c:smooth val="0"/>
          <c:extLst>
            <c:ext xmlns:c16="http://schemas.microsoft.com/office/drawing/2014/chart" uri="{C3380CC4-5D6E-409C-BE32-E72D297353CC}">
              <c16:uniqueId val="{00000000-D141-4121-BDBB-82BF050178BC}"/>
            </c:ext>
          </c:extLst>
        </c:ser>
        <c:dLbls>
          <c:dLblPos val="t"/>
          <c:showLegendKey val="0"/>
          <c:showVal val="1"/>
          <c:showCatName val="0"/>
          <c:showSerName val="0"/>
          <c:showPercent val="0"/>
          <c:showBubbleSize val="0"/>
        </c:dLbls>
        <c:marker val="1"/>
        <c:smooth val="0"/>
        <c:axId val="950290048"/>
        <c:axId val="1809633376"/>
      </c:lineChart>
      <c:catAx>
        <c:axId val="950290048"/>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Month-Year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809633376"/>
        <c:crosses val="autoZero"/>
        <c:auto val="1"/>
        <c:lblAlgn val="ctr"/>
        <c:lblOffset val="100"/>
        <c:noMultiLvlLbl val="0"/>
      </c:catAx>
      <c:valAx>
        <c:axId val="1809633376"/>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Total Sales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50290048"/>
        <c:crosses val="autoZero"/>
        <c:crossBetween val="between"/>
      </c:valAx>
      <c:spPr>
        <a:pattFill prst="ltDnDiag">
          <a:fgClr>
            <a:schemeClr val="dk1">
              <a:lumMod val="15000"/>
              <a:lumOff val="85000"/>
            </a:schemeClr>
          </a:fgClr>
          <a:bgClr>
            <a:schemeClr val="lt1"/>
          </a:bgClr>
        </a:pattFill>
        <a:ln>
          <a:noFill/>
        </a:ln>
        <a:effectLst/>
      </c:spPr>
    </c:plotArea>
    <c:legend>
      <c:legendPos val="r"/>
      <c:layout>
        <c:manualLayout>
          <c:xMode val="edge"/>
          <c:yMode val="edge"/>
          <c:x val="0.87992517077749388"/>
          <c:y val="0.88695931841959041"/>
          <c:w val="0.10300691408631582"/>
          <c:h val="5.75044636549305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Table!Salesbycategory</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Distribution by Category</a:t>
            </a:r>
          </a:p>
        </c:rich>
      </c:tx>
      <c:layout>
        <c:manualLayout>
          <c:xMode val="edge"/>
          <c:yMode val="edge"/>
          <c:x val="0.22585877862595424"/>
          <c:y val="6.551681867855289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layout>
            <c:manualLayout>
              <c:x val="-0.15056825583236302"/>
              <c:y val="5.716946251283806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layout>
            <c:manualLayout>
              <c:x val="-0.14016289132094681"/>
              <c:y val="-0.1463652173913044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a:sp3d/>
        </c:spPr>
        <c:dLbl>
          <c:idx val="0"/>
          <c:layout>
            <c:manualLayout>
              <c:x val="8.4410490938569005E-2"/>
              <c:y val="-0.1749724067100308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a:sp3d/>
        </c:spPr>
        <c:dLbl>
          <c:idx val="0"/>
          <c:layout>
            <c:manualLayout>
              <c:x val="0.1118911866736943"/>
              <c:y val="-5.585758301951392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a:sp3d/>
        </c:spPr>
        <c:dLbl>
          <c:idx val="0"/>
          <c:layout>
            <c:manualLayout>
              <c:x val="9.7885699512809052E-2"/>
              <c:y val="9.655487846627863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Table'!$L$1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346F-4B34-A2A9-8A8AAA3700EE}"/>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346F-4B34-A2A9-8A8AAA3700EE}"/>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346F-4B34-A2A9-8A8AAA3700EE}"/>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346F-4B34-A2A9-8A8AAA3700EE}"/>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346F-4B34-A2A9-8A8AAA3700EE}"/>
              </c:ext>
            </c:extLst>
          </c:dPt>
          <c:dLbls>
            <c:dLbl>
              <c:idx val="0"/>
              <c:layout>
                <c:manualLayout>
                  <c:x val="-0.15056825583236302"/>
                  <c:y val="5.7169462512838068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46F-4B34-A2A9-8A8AAA3700EE}"/>
                </c:ext>
              </c:extLst>
            </c:dLbl>
            <c:dLbl>
              <c:idx val="1"/>
              <c:layout>
                <c:manualLayout>
                  <c:x val="-0.14016289132094681"/>
                  <c:y val="-0.14636521739130448"/>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46F-4B34-A2A9-8A8AAA3700EE}"/>
                </c:ext>
              </c:extLst>
            </c:dLbl>
            <c:dLbl>
              <c:idx val="2"/>
              <c:layout>
                <c:manualLayout>
                  <c:x val="8.4410490938569005E-2"/>
                  <c:y val="-0.17497240671003081"/>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46F-4B34-A2A9-8A8AAA3700EE}"/>
                </c:ext>
              </c:extLst>
            </c:dLbl>
            <c:dLbl>
              <c:idx val="3"/>
              <c:layout>
                <c:manualLayout>
                  <c:x val="0.1118911866736943"/>
                  <c:y val="-5.5857583019513928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346F-4B34-A2A9-8A8AAA3700EE}"/>
                </c:ext>
              </c:extLst>
            </c:dLbl>
            <c:dLbl>
              <c:idx val="4"/>
              <c:layout>
                <c:manualLayout>
                  <c:x val="9.7885699512809052E-2"/>
                  <c:y val="9.6554878466278637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346F-4B34-A2A9-8A8AAA3700E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Table'!$K$2:$K$7</c:f>
              <c:strCache>
                <c:ptCount val="5"/>
                <c:pt idx="0">
                  <c:v>Accessories</c:v>
                </c:pt>
                <c:pt idx="1">
                  <c:v>Electronics</c:v>
                </c:pt>
                <c:pt idx="2">
                  <c:v>Networking</c:v>
                </c:pt>
                <c:pt idx="3">
                  <c:v>Office Supplies</c:v>
                </c:pt>
                <c:pt idx="4">
                  <c:v>Storage</c:v>
                </c:pt>
              </c:strCache>
            </c:strRef>
          </c:cat>
          <c:val>
            <c:numRef>
              <c:f>'Pivot Table'!$L$2:$L$7</c:f>
              <c:numCache>
                <c:formatCode>0</c:formatCode>
                <c:ptCount val="5"/>
                <c:pt idx="0">
                  <c:v>85600.2</c:v>
                </c:pt>
                <c:pt idx="1">
                  <c:v>37888.960000000006</c:v>
                </c:pt>
                <c:pt idx="2">
                  <c:v>52322.970000000008</c:v>
                </c:pt>
                <c:pt idx="3">
                  <c:v>64498.270000000004</c:v>
                </c:pt>
                <c:pt idx="4">
                  <c:v>40008.31</c:v>
                </c:pt>
              </c:numCache>
            </c:numRef>
          </c:val>
          <c:extLst>
            <c:ext xmlns:c16="http://schemas.microsoft.com/office/drawing/2014/chart" uri="{C3380CC4-5D6E-409C-BE32-E72D297353CC}">
              <c16:uniqueId val="{0000000A-346F-4B34-A2A9-8A8AAA3700EE}"/>
            </c:ext>
          </c:extLst>
        </c:ser>
        <c:dLbls>
          <c:dLblPos val="ctr"/>
          <c:showLegendKey val="0"/>
          <c:showVal val="1"/>
          <c:showCatName val="0"/>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Table!Supplier&amp;Sales</c:name>
    <c:fmtId val="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b="0"/>
              <a:t>Total Sales by Supplier</a:t>
            </a:r>
          </a:p>
        </c:rich>
      </c:tx>
      <c:layout>
        <c:manualLayout>
          <c:xMode val="edge"/>
          <c:yMode val="edge"/>
          <c:x val="0.33586589286958596"/>
          <c:y val="9.259887772649108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dLbl>
          <c:idx val="0"/>
          <c:layout>
            <c:manualLayout>
              <c:x val="-5.5834745777339032E-2"/>
              <c:y val="3.460207612456747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Table'!$P$1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0-5404-405C-B55A-0BD1CDBB3E6C}"/>
              </c:ext>
            </c:extLst>
          </c:dPt>
          <c:dLbls>
            <c:dLbl>
              <c:idx val="0"/>
              <c:layout>
                <c:manualLayout>
                  <c:x val="-5.5834745777339032E-2"/>
                  <c:y val="3.460207612456747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404-405C-B55A-0BD1CDBB3E6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Table'!$O$2:$O$9</c:f>
              <c:strCache>
                <c:ptCount val="7"/>
                <c:pt idx="0">
                  <c:v>Display World</c:v>
                </c:pt>
                <c:pt idx="1">
                  <c:v>Gadgets Ltd</c:v>
                </c:pt>
                <c:pt idx="2">
                  <c:v>NetConnect</c:v>
                </c:pt>
                <c:pt idx="3">
                  <c:v>Office Essentials</c:v>
                </c:pt>
                <c:pt idx="4">
                  <c:v>Print Solutions</c:v>
                </c:pt>
                <c:pt idx="5">
                  <c:v>StoragePro</c:v>
                </c:pt>
                <c:pt idx="6">
                  <c:v>TechCorp</c:v>
                </c:pt>
              </c:strCache>
            </c:strRef>
          </c:cat>
          <c:val>
            <c:numRef>
              <c:f>'Pivot Table'!$P$2:$P$9</c:f>
              <c:numCache>
                <c:formatCode>0</c:formatCode>
                <c:ptCount val="7"/>
                <c:pt idx="0">
                  <c:v>8992.1</c:v>
                </c:pt>
                <c:pt idx="1">
                  <c:v>68199.44</c:v>
                </c:pt>
                <c:pt idx="2">
                  <c:v>43136.320000000007</c:v>
                </c:pt>
                <c:pt idx="3">
                  <c:v>27840.969999999998</c:v>
                </c:pt>
                <c:pt idx="4">
                  <c:v>16258.930000000002</c:v>
                </c:pt>
                <c:pt idx="5">
                  <c:v>79729.850000000006</c:v>
                </c:pt>
                <c:pt idx="6">
                  <c:v>36161.100000000006</c:v>
                </c:pt>
              </c:numCache>
            </c:numRef>
          </c:val>
          <c:extLst>
            <c:ext xmlns:c16="http://schemas.microsoft.com/office/drawing/2014/chart" uri="{C3380CC4-5D6E-409C-BE32-E72D297353CC}">
              <c16:uniqueId val="{00000000-9B01-4CEE-BD74-DA700BDE501C}"/>
            </c:ext>
          </c:extLst>
        </c:ser>
        <c:dLbls>
          <c:dLblPos val="inEnd"/>
          <c:showLegendKey val="0"/>
          <c:showVal val="1"/>
          <c:showCatName val="0"/>
          <c:showSerName val="0"/>
          <c:showPercent val="0"/>
          <c:showBubbleSize val="0"/>
        </c:dLbls>
        <c:gapWidth val="65"/>
        <c:axId val="1780877056"/>
        <c:axId val="1780874656"/>
      </c:barChart>
      <c:catAx>
        <c:axId val="1780877056"/>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200"/>
                  <a:t>Supplier Name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80874656"/>
        <c:crosses val="autoZero"/>
        <c:auto val="1"/>
        <c:lblAlgn val="ctr"/>
        <c:lblOffset val="100"/>
        <c:noMultiLvlLbl val="0"/>
      </c:catAx>
      <c:valAx>
        <c:axId val="178087465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sz="1300">
                    <a:latin typeface="Times New Roman" panose="02020603050405020304" pitchFamily="18" charset="0"/>
                    <a:cs typeface="Times New Roman" panose="02020603050405020304" pitchFamily="18" charset="0"/>
                  </a:rPr>
                  <a:t>Total Sales (€)</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78087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Table!PivotTable6</c:name>
    <c:fmtId val="2"/>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Stock vs. Sales by Product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s>
    <c:plotArea>
      <c:layout>
        <c:manualLayout>
          <c:layoutTarget val="inner"/>
          <c:xMode val="edge"/>
          <c:yMode val="edge"/>
          <c:x val="5.8373599204536296E-2"/>
          <c:y val="0.2064188115665713"/>
          <c:w val="0.88561092150170662"/>
          <c:h val="0.42077093795115456"/>
        </c:manualLayout>
      </c:layout>
      <c:barChart>
        <c:barDir val="col"/>
        <c:grouping val="clustered"/>
        <c:varyColors val="0"/>
        <c:ser>
          <c:idx val="0"/>
          <c:order val="0"/>
          <c:tx>
            <c:strRef>
              <c:f>'Pivot Table'!$H$14</c:f>
              <c:strCache>
                <c:ptCount val="1"/>
                <c:pt idx="0">
                  <c:v>Sum of Current Stock</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Table'!$G$15:$G$46</c:f>
              <c:strCache>
                <c:ptCount val="31"/>
                <c:pt idx="0">
                  <c:v>CCTV Camera</c:v>
                </c:pt>
                <c:pt idx="1">
                  <c:v>Cooling Pad</c:v>
                </c:pt>
                <c:pt idx="2">
                  <c:v>External HDD</c:v>
                </c:pt>
                <c:pt idx="3">
                  <c:v>Fingerprint Scanner</c:v>
                </c:pt>
                <c:pt idx="4">
                  <c:v>Gaming Mouse</c:v>
                </c:pt>
                <c:pt idx="5">
                  <c:v>Graphic Tablet</c:v>
                </c:pt>
                <c:pt idx="6">
                  <c:v>Hard Drive Enclosure</c:v>
                </c:pt>
                <c:pt idx="7">
                  <c:v>Headphones</c:v>
                </c:pt>
                <c:pt idx="8">
                  <c:v>Label Printer</c:v>
                </c:pt>
                <c:pt idx="9">
                  <c:v>Laptop</c:v>
                </c:pt>
                <c:pt idx="10">
                  <c:v>LED Panel</c:v>
                </c:pt>
                <c:pt idx="11">
                  <c:v>Mechanical Keyboard</c:v>
                </c:pt>
                <c:pt idx="12">
                  <c:v>Modem</c:v>
                </c:pt>
                <c:pt idx="13">
                  <c:v>Monitor</c:v>
                </c:pt>
                <c:pt idx="14">
                  <c:v>NAS Storage</c:v>
                </c:pt>
                <c:pt idx="15">
                  <c:v>Pen Drive</c:v>
                </c:pt>
                <c:pt idx="16">
                  <c:v>Printer</c:v>
                </c:pt>
                <c:pt idx="17">
                  <c:v>Projector</c:v>
                </c:pt>
                <c:pt idx="18">
                  <c:v>RAM Module</c:v>
                </c:pt>
                <c:pt idx="19">
                  <c:v>Smart Doorbell</c:v>
                </c:pt>
                <c:pt idx="20">
                  <c:v>Smartphone</c:v>
                </c:pt>
                <c:pt idx="21">
                  <c:v>Smartwatch</c:v>
                </c:pt>
                <c:pt idx="22">
                  <c:v>Surge Protector</c:v>
                </c:pt>
                <c:pt idx="23">
                  <c:v>Tablet</c:v>
                </c:pt>
                <c:pt idx="24">
                  <c:v>Thermal Printer</c:v>
                </c:pt>
                <c:pt idx="25">
                  <c:v>Tripod</c:v>
                </c:pt>
                <c:pt idx="26">
                  <c:v>VR Headset</c:v>
                </c:pt>
                <c:pt idx="27">
                  <c:v>Webcam</c:v>
                </c:pt>
                <c:pt idx="28">
                  <c:v>Whiteboard</c:v>
                </c:pt>
                <c:pt idx="29">
                  <c:v>Wireless Charger</c:v>
                </c:pt>
                <c:pt idx="30">
                  <c:v>Wireless Earbuds</c:v>
                </c:pt>
              </c:strCache>
            </c:strRef>
          </c:cat>
          <c:val>
            <c:numRef>
              <c:f>'Pivot Table'!$H$15:$H$46</c:f>
              <c:numCache>
                <c:formatCode>General</c:formatCode>
                <c:ptCount val="31"/>
                <c:pt idx="0">
                  <c:v>93</c:v>
                </c:pt>
                <c:pt idx="1">
                  <c:v>220</c:v>
                </c:pt>
                <c:pt idx="2">
                  <c:v>118</c:v>
                </c:pt>
                <c:pt idx="3">
                  <c:v>245</c:v>
                </c:pt>
                <c:pt idx="4">
                  <c:v>204</c:v>
                </c:pt>
                <c:pt idx="5">
                  <c:v>129</c:v>
                </c:pt>
                <c:pt idx="6">
                  <c:v>188</c:v>
                </c:pt>
                <c:pt idx="7">
                  <c:v>91</c:v>
                </c:pt>
                <c:pt idx="8">
                  <c:v>325</c:v>
                </c:pt>
                <c:pt idx="9">
                  <c:v>83</c:v>
                </c:pt>
                <c:pt idx="10">
                  <c:v>255</c:v>
                </c:pt>
                <c:pt idx="11">
                  <c:v>114</c:v>
                </c:pt>
                <c:pt idx="12">
                  <c:v>97</c:v>
                </c:pt>
                <c:pt idx="13">
                  <c:v>150</c:v>
                </c:pt>
                <c:pt idx="14">
                  <c:v>59</c:v>
                </c:pt>
                <c:pt idx="15">
                  <c:v>84</c:v>
                </c:pt>
                <c:pt idx="16">
                  <c:v>487</c:v>
                </c:pt>
                <c:pt idx="17">
                  <c:v>56</c:v>
                </c:pt>
                <c:pt idx="18">
                  <c:v>176</c:v>
                </c:pt>
                <c:pt idx="19">
                  <c:v>79</c:v>
                </c:pt>
                <c:pt idx="20">
                  <c:v>0</c:v>
                </c:pt>
                <c:pt idx="21">
                  <c:v>349</c:v>
                </c:pt>
                <c:pt idx="22">
                  <c:v>99</c:v>
                </c:pt>
                <c:pt idx="23">
                  <c:v>35</c:v>
                </c:pt>
                <c:pt idx="24">
                  <c:v>194</c:v>
                </c:pt>
                <c:pt idx="25">
                  <c:v>280</c:v>
                </c:pt>
                <c:pt idx="26">
                  <c:v>458</c:v>
                </c:pt>
                <c:pt idx="27">
                  <c:v>179</c:v>
                </c:pt>
                <c:pt idx="28">
                  <c:v>55</c:v>
                </c:pt>
                <c:pt idx="29">
                  <c:v>135</c:v>
                </c:pt>
                <c:pt idx="30">
                  <c:v>319</c:v>
                </c:pt>
              </c:numCache>
            </c:numRef>
          </c:val>
          <c:extLst>
            <c:ext xmlns:c16="http://schemas.microsoft.com/office/drawing/2014/chart" uri="{C3380CC4-5D6E-409C-BE32-E72D297353CC}">
              <c16:uniqueId val="{00000000-A4B5-4E7E-9F1E-5195CCC7D51D}"/>
            </c:ext>
          </c:extLst>
        </c:ser>
        <c:ser>
          <c:idx val="1"/>
          <c:order val="1"/>
          <c:tx>
            <c:strRef>
              <c:f>'Pivot Table'!$I$14</c:f>
              <c:strCache>
                <c:ptCount val="1"/>
                <c:pt idx="0">
                  <c:v>Sum of Quantity Sold</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Table'!$G$15:$G$46</c:f>
              <c:strCache>
                <c:ptCount val="31"/>
                <c:pt idx="0">
                  <c:v>CCTV Camera</c:v>
                </c:pt>
                <c:pt idx="1">
                  <c:v>Cooling Pad</c:v>
                </c:pt>
                <c:pt idx="2">
                  <c:v>External HDD</c:v>
                </c:pt>
                <c:pt idx="3">
                  <c:v>Fingerprint Scanner</c:v>
                </c:pt>
                <c:pt idx="4">
                  <c:v>Gaming Mouse</c:v>
                </c:pt>
                <c:pt idx="5">
                  <c:v>Graphic Tablet</c:v>
                </c:pt>
                <c:pt idx="6">
                  <c:v>Hard Drive Enclosure</c:v>
                </c:pt>
                <c:pt idx="7">
                  <c:v>Headphones</c:v>
                </c:pt>
                <c:pt idx="8">
                  <c:v>Label Printer</c:v>
                </c:pt>
                <c:pt idx="9">
                  <c:v>Laptop</c:v>
                </c:pt>
                <c:pt idx="10">
                  <c:v>LED Panel</c:v>
                </c:pt>
                <c:pt idx="11">
                  <c:v>Mechanical Keyboard</c:v>
                </c:pt>
                <c:pt idx="12">
                  <c:v>Modem</c:v>
                </c:pt>
                <c:pt idx="13">
                  <c:v>Monitor</c:v>
                </c:pt>
                <c:pt idx="14">
                  <c:v>NAS Storage</c:v>
                </c:pt>
                <c:pt idx="15">
                  <c:v>Pen Drive</c:v>
                </c:pt>
                <c:pt idx="16">
                  <c:v>Printer</c:v>
                </c:pt>
                <c:pt idx="17">
                  <c:v>Projector</c:v>
                </c:pt>
                <c:pt idx="18">
                  <c:v>RAM Module</c:v>
                </c:pt>
                <c:pt idx="19">
                  <c:v>Smart Doorbell</c:v>
                </c:pt>
                <c:pt idx="20">
                  <c:v>Smartphone</c:v>
                </c:pt>
                <c:pt idx="21">
                  <c:v>Smartwatch</c:v>
                </c:pt>
                <c:pt idx="22">
                  <c:v>Surge Protector</c:v>
                </c:pt>
                <c:pt idx="23">
                  <c:v>Tablet</c:v>
                </c:pt>
                <c:pt idx="24">
                  <c:v>Thermal Printer</c:v>
                </c:pt>
                <c:pt idx="25">
                  <c:v>Tripod</c:v>
                </c:pt>
                <c:pt idx="26">
                  <c:v>VR Headset</c:v>
                </c:pt>
                <c:pt idx="27">
                  <c:v>Webcam</c:v>
                </c:pt>
                <c:pt idx="28">
                  <c:v>Whiteboard</c:v>
                </c:pt>
                <c:pt idx="29">
                  <c:v>Wireless Charger</c:v>
                </c:pt>
                <c:pt idx="30">
                  <c:v>Wireless Earbuds</c:v>
                </c:pt>
              </c:strCache>
            </c:strRef>
          </c:cat>
          <c:val>
            <c:numRef>
              <c:f>'Pivot Table'!$I$15:$I$46</c:f>
              <c:numCache>
                <c:formatCode>General</c:formatCode>
                <c:ptCount val="31"/>
                <c:pt idx="0">
                  <c:v>19</c:v>
                </c:pt>
                <c:pt idx="1">
                  <c:v>33</c:v>
                </c:pt>
                <c:pt idx="2">
                  <c:v>7</c:v>
                </c:pt>
                <c:pt idx="3">
                  <c:v>20</c:v>
                </c:pt>
                <c:pt idx="4">
                  <c:v>13</c:v>
                </c:pt>
                <c:pt idx="5">
                  <c:v>8</c:v>
                </c:pt>
                <c:pt idx="6">
                  <c:v>29</c:v>
                </c:pt>
                <c:pt idx="7">
                  <c:v>21</c:v>
                </c:pt>
                <c:pt idx="8">
                  <c:v>22</c:v>
                </c:pt>
                <c:pt idx="9">
                  <c:v>21</c:v>
                </c:pt>
                <c:pt idx="10">
                  <c:v>21</c:v>
                </c:pt>
                <c:pt idx="11">
                  <c:v>43</c:v>
                </c:pt>
                <c:pt idx="12">
                  <c:v>6</c:v>
                </c:pt>
                <c:pt idx="13">
                  <c:v>21</c:v>
                </c:pt>
                <c:pt idx="14">
                  <c:v>1</c:v>
                </c:pt>
                <c:pt idx="15">
                  <c:v>23</c:v>
                </c:pt>
                <c:pt idx="16">
                  <c:v>23</c:v>
                </c:pt>
                <c:pt idx="17">
                  <c:v>12</c:v>
                </c:pt>
                <c:pt idx="18">
                  <c:v>23</c:v>
                </c:pt>
                <c:pt idx="19">
                  <c:v>11</c:v>
                </c:pt>
                <c:pt idx="20">
                  <c:v>25</c:v>
                </c:pt>
                <c:pt idx="21">
                  <c:v>19</c:v>
                </c:pt>
                <c:pt idx="22">
                  <c:v>4</c:v>
                </c:pt>
                <c:pt idx="23">
                  <c:v>2</c:v>
                </c:pt>
                <c:pt idx="24">
                  <c:v>11</c:v>
                </c:pt>
                <c:pt idx="25">
                  <c:v>8</c:v>
                </c:pt>
                <c:pt idx="26">
                  <c:v>29</c:v>
                </c:pt>
                <c:pt idx="27">
                  <c:v>17</c:v>
                </c:pt>
                <c:pt idx="28">
                  <c:v>18</c:v>
                </c:pt>
                <c:pt idx="29">
                  <c:v>9</c:v>
                </c:pt>
                <c:pt idx="30">
                  <c:v>11</c:v>
                </c:pt>
              </c:numCache>
            </c:numRef>
          </c:val>
          <c:extLst>
            <c:ext xmlns:c16="http://schemas.microsoft.com/office/drawing/2014/chart" uri="{C3380CC4-5D6E-409C-BE32-E72D297353CC}">
              <c16:uniqueId val="{00000001-A4B5-4E7E-9F1E-5195CCC7D51D}"/>
            </c:ext>
          </c:extLst>
        </c:ser>
        <c:dLbls>
          <c:dLblPos val="outEnd"/>
          <c:showLegendKey val="0"/>
          <c:showVal val="1"/>
          <c:showCatName val="0"/>
          <c:showSerName val="0"/>
          <c:showPercent val="0"/>
          <c:showBubbleSize val="0"/>
        </c:dLbls>
        <c:gapWidth val="444"/>
        <c:overlap val="-90"/>
        <c:axId val="951847360"/>
        <c:axId val="1646183536"/>
      </c:barChart>
      <c:catAx>
        <c:axId val="9518473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200" b="1">
                    <a:latin typeface="Times New Roman" panose="02020603050405020304" pitchFamily="18" charset="0"/>
                    <a:cs typeface="Times New Roman" panose="02020603050405020304" pitchFamily="18" charset="0"/>
                  </a:rPr>
                  <a:t>Product Name</a:t>
                </a:r>
              </a:p>
            </c:rich>
          </c:tx>
          <c:layout>
            <c:manualLayout>
              <c:xMode val="edge"/>
              <c:yMode val="edge"/>
              <c:x val="0.46106786835996166"/>
              <c:y val="0.89789917754716275"/>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50" b="0" i="0" u="none" strike="noStrike" kern="1200" cap="all" spc="120" normalizeH="0" baseline="0">
                <a:solidFill>
                  <a:schemeClr val="tx1">
                    <a:lumMod val="65000"/>
                    <a:lumOff val="35000"/>
                  </a:schemeClr>
                </a:solidFill>
                <a:latin typeface="+mn-lt"/>
                <a:ea typeface="+mn-ea"/>
                <a:cs typeface="+mn-cs"/>
              </a:defRPr>
            </a:pPr>
            <a:endParaRPr lang="en-US"/>
          </a:p>
        </c:txPr>
        <c:crossAx val="1646183536"/>
        <c:crosses val="autoZero"/>
        <c:auto val="1"/>
        <c:lblAlgn val="ctr"/>
        <c:lblOffset val="100"/>
        <c:noMultiLvlLbl val="0"/>
      </c:catAx>
      <c:valAx>
        <c:axId val="1646183536"/>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latin typeface="Times New Roman" panose="02020603050405020304" pitchFamily="18" charset="0"/>
                    <a:cs typeface="Times New Roman" panose="02020603050405020304" pitchFamily="18" charset="0"/>
                  </a:rPr>
                  <a:t>Stock &amp; Sales Quantity</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951847360"/>
        <c:crosses val="autoZero"/>
        <c:crossBetween val="between"/>
      </c:valAx>
      <c:spPr>
        <a:noFill/>
        <a:ln>
          <a:noFill/>
        </a:ln>
        <a:effectLst/>
      </c:spPr>
    </c:plotArea>
    <c:legend>
      <c:legendPos val="r"/>
      <c:layout>
        <c:manualLayout>
          <c:xMode val="edge"/>
          <c:yMode val="edge"/>
          <c:x val="0.88209311267315793"/>
          <c:y val="1.9112406461604791E-2"/>
          <c:w val="0.10873678187062931"/>
          <c:h val="0.179080439063324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for Inventory Management System.xlsm]Pivot Table!SalesSummary</c:name>
    <c:fmtId val="4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Product Sale</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Table'!$A$2:$A$37</c:f>
              <c:strCache>
                <c:ptCount val="35"/>
                <c:pt idx="0">
                  <c:v>External HDD</c:v>
                </c:pt>
                <c:pt idx="1">
                  <c:v>Projector</c:v>
                </c:pt>
                <c:pt idx="2">
                  <c:v>Router</c:v>
                </c:pt>
                <c:pt idx="3">
                  <c:v>Scanner</c:v>
                </c:pt>
                <c:pt idx="4">
                  <c:v>Pen Drive</c:v>
                </c:pt>
                <c:pt idx="5">
                  <c:v>Surge Protector</c:v>
                </c:pt>
                <c:pt idx="6">
                  <c:v>Graphic Tablet</c:v>
                </c:pt>
                <c:pt idx="7">
                  <c:v>Smartwatch</c:v>
                </c:pt>
                <c:pt idx="8">
                  <c:v>CCTV Camera</c:v>
                </c:pt>
                <c:pt idx="9">
                  <c:v>Bluetooth Speaker</c:v>
                </c:pt>
                <c:pt idx="10">
                  <c:v>Power Bank</c:v>
                </c:pt>
                <c:pt idx="11">
                  <c:v>Laptop Stand</c:v>
                </c:pt>
                <c:pt idx="12">
                  <c:v>Wireless Earbuds</c:v>
                </c:pt>
                <c:pt idx="13">
                  <c:v>Gaming Mouse</c:v>
                </c:pt>
                <c:pt idx="14">
                  <c:v>Thermal Printer</c:v>
                </c:pt>
                <c:pt idx="15">
                  <c:v>Cooling Pad</c:v>
                </c:pt>
                <c:pt idx="16">
                  <c:v>USB Drive</c:v>
                </c:pt>
                <c:pt idx="17">
                  <c:v>Monitor</c:v>
                </c:pt>
                <c:pt idx="18">
                  <c:v>NAS Storage</c:v>
                </c:pt>
                <c:pt idx="19">
                  <c:v>LED Panel</c:v>
                </c:pt>
                <c:pt idx="20">
                  <c:v>Hard Drive Enclosure</c:v>
                </c:pt>
                <c:pt idx="21">
                  <c:v>Ethernet Cable</c:v>
                </c:pt>
                <c:pt idx="22">
                  <c:v>RAM Module</c:v>
                </c:pt>
                <c:pt idx="23">
                  <c:v>Server Rack</c:v>
                </c:pt>
                <c:pt idx="24">
                  <c:v>Smartphone</c:v>
                </c:pt>
                <c:pt idx="25">
                  <c:v>Tablet</c:v>
                </c:pt>
                <c:pt idx="26">
                  <c:v>Mouse</c:v>
                </c:pt>
                <c:pt idx="27">
                  <c:v>SSD</c:v>
                </c:pt>
                <c:pt idx="28">
                  <c:v>Game Controller</c:v>
                </c:pt>
                <c:pt idx="29">
                  <c:v>Tripod</c:v>
                </c:pt>
                <c:pt idx="30">
                  <c:v>Desk Lamp</c:v>
                </c:pt>
                <c:pt idx="31">
                  <c:v>Whiteboard</c:v>
                </c:pt>
                <c:pt idx="32">
                  <c:v>WiFi Extender</c:v>
                </c:pt>
                <c:pt idx="33">
                  <c:v>Microphone</c:v>
                </c:pt>
                <c:pt idx="34">
                  <c:v>Headphones</c:v>
                </c:pt>
              </c:strCache>
            </c:strRef>
          </c:cat>
          <c:val>
            <c:numRef>
              <c:f>'Pivot Table'!$B$2:$B$37</c:f>
              <c:numCache>
                <c:formatCode>0</c:formatCode>
                <c:ptCount val="35"/>
                <c:pt idx="0">
                  <c:v>28152.809999999998</c:v>
                </c:pt>
                <c:pt idx="1">
                  <c:v>21517</c:v>
                </c:pt>
                <c:pt idx="2">
                  <c:v>20934.14</c:v>
                </c:pt>
                <c:pt idx="3">
                  <c:v>18905.219999999998</c:v>
                </c:pt>
                <c:pt idx="4">
                  <c:v>16560.490000000002</c:v>
                </c:pt>
                <c:pt idx="5">
                  <c:v>15497.44</c:v>
                </c:pt>
                <c:pt idx="6">
                  <c:v>14653.679999999998</c:v>
                </c:pt>
                <c:pt idx="7">
                  <c:v>12723.999999999998</c:v>
                </c:pt>
                <c:pt idx="8">
                  <c:v>12235.460000000001</c:v>
                </c:pt>
                <c:pt idx="9">
                  <c:v>10405.700000000001</c:v>
                </c:pt>
                <c:pt idx="10">
                  <c:v>9831.0399999999991</c:v>
                </c:pt>
                <c:pt idx="11">
                  <c:v>9432.9000000000015</c:v>
                </c:pt>
                <c:pt idx="12">
                  <c:v>8997.1200000000008</c:v>
                </c:pt>
                <c:pt idx="13">
                  <c:v>8842.7800000000007</c:v>
                </c:pt>
                <c:pt idx="14">
                  <c:v>7373.6600000000008</c:v>
                </c:pt>
                <c:pt idx="15">
                  <c:v>7295.6</c:v>
                </c:pt>
                <c:pt idx="16">
                  <c:v>7210.35</c:v>
                </c:pt>
                <c:pt idx="17">
                  <c:v>6763.6100000000006</c:v>
                </c:pt>
                <c:pt idx="18">
                  <c:v>6641.18</c:v>
                </c:pt>
                <c:pt idx="19">
                  <c:v>6245.01</c:v>
                </c:pt>
                <c:pt idx="20">
                  <c:v>5712.68</c:v>
                </c:pt>
                <c:pt idx="21">
                  <c:v>4028.56</c:v>
                </c:pt>
                <c:pt idx="22">
                  <c:v>3501.16</c:v>
                </c:pt>
                <c:pt idx="23">
                  <c:v>2918.08</c:v>
                </c:pt>
                <c:pt idx="24">
                  <c:v>2720.79</c:v>
                </c:pt>
                <c:pt idx="25">
                  <c:v>2245.6</c:v>
                </c:pt>
                <c:pt idx="26">
                  <c:v>2007.3000000000002</c:v>
                </c:pt>
                <c:pt idx="27">
                  <c:v>1618.44</c:v>
                </c:pt>
                <c:pt idx="28">
                  <c:v>1194.27</c:v>
                </c:pt>
                <c:pt idx="29">
                  <c:v>891.67000000000007</c:v>
                </c:pt>
                <c:pt idx="30">
                  <c:v>884.42</c:v>
                </c:pt>
                <c:pt idx="31">
                  <c:v>759.45</c:v>
                </c:pt>
                <c:pt idx="32">
                  <c:v>744.22</c:v>
                </c:pt>
                <c:pt idx="33">
                  <c:v>643.58000000000004</c:v>
                </c:pt>
                <c:pt idx="34">
                  <c:v>229.3</c:v>
                </c:pt>
              </c:numCache>
            </c:numRef>
          </c:val>
          <c:extLst>
            <c:ext xmlns:c16="http://schemas.microsoft.com/office/drawing/2014/chart" uri="{C3380CC4-5D6E-409C-BE32-E72D297353CC}">
              <c16:uniqueId val="{00000000-BBE6-41E8-98D9-4BD985AC00AC}"/>
            </c:ext>
          </c:extLst>
        </c:ser>
        <c:dLbls>
          <c:dLblPos val="outEnd"/>
          <c:showLegendKey val="0"/>
          <c:showVal val="1"/>
          <c:showCatName val="0"/>
          <c:showSerName val="0"/>
          <c:showPercent val="0"/>
          <c:showBubbleSize val="0"/>
        </c:dLbls>
        <c:gapWidth val="444"/>
        <c:overlap val="-90"/>
        <c:axId val="854589760"/>
        <c:axId val="854586880"/>
      </c:barChart>
      <c:catAx>
        <c:axId val="854589760"/>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200" b="1">
                    <a:latin typeface="Times New Roman" panose="02020603050405020304" pitchFamily="18" charset="0"/>
                    <a:cs typeface="Times New Roman" panose="02020603050405020304" pitchFamily="18" charset="0"/>
                  </a:rPr>
                  <a:t>Product</a:t>
                </a:r>
                <a:r>
                  <a:rPr lang="en-US" sz="1200" b="1" baseline="0">
                    <a:latin typeface="Times New Roman" panose="02020603050405020304" pitchFamily="18" charset="0"/>
                    <a:cs typeface="Times New Roman" panose="02020603050405020304" pitchFamily="18" charset="0"/>
                  </a:rPr>
                  <a:t> Name</a:t>
                </a:r>
                <a:endParaRPr lang="en-US" sz="12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54586880"/>
        <c:crosses val="autoZero"/>
        <c:auto val="1"/>
        <c:lblAlgn val="ctr"/>
        <c:lblOffset val="100"/>
        <c:noMultiLvlLbl val="0"/>
      </c:catAx>
      <c:valAx>
        <c:axId val="854586880"/>
        <c:scaling>
          <c:orientation val="minMax"/>
        </c:scaling>
        <c:delete val="1"/>
        <c:axPos val="l"/>
        <c:title>
          <c:tx>
            <c:rich>
              <a:bodyPr rot="-5400000" spcFirstLastPara="1" vertOverflow="ellipsis" vert="horz" wrap="square" anchor="ctr" anchorCtr="1"/>
              <a:lstStyle/>
              <a:p>
                <a:pPr>
                  <a:defRPr sz="1000" b="1"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200" b="1">
                    <a:latin typeface="Times New Roman" panose="02020603050405020304" pitchFamily="18" charset="0"/>
                    <a:cs typeface="Times New Roman" panose="02020603050405020304" pitchFamily="18" charset="0"/>
                  </a:rPr>
                  <a:t>Total</a:t>
                </a:r>
                <a:r>
                  <a:rPr lang="en-US" sz="1200" b="1" baseline="0">
                    <a:latin typeface="Times New Roman" panose="02020603050405020304" pitchFamily="18" charset="0"/>
                    <a:cs typeface="Times New Roman" panose="02020603050405020304" pitchFamily="18" charset="0"/>
                  </a:rPr>
                  <a:t> Sales</a:t>
                </a:r>
                <a:endParaRPr lang="en-US" sz="1200" b="1">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1000" b="1"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1"/>
        <c:majorTickMark val="none"/>
        <c:minorTickMark val="none"/>
        <c:tickLblPos val="nextTo"/>
        <c:crossAx val="854589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462280</xdr:colOff>
      <xdr:row>2</xdr:row>
      <xdr:rowOff>147320</xdr:rowOff>
    </xdr:from>
    <xdr:to>
      <xdr:col>23</xdr:col>
      <xdr:colOff>532130</xdr:colOff>
      <xdr:row>23</xdr:row>
      <xdr:rowOff>147320</xdr:rowOff>
    </xdr:to>
    <xdr:graphicFrame macro="">
      <xdr:nvGraphicFramePr>
        <xdr:cNvPr id="3" name="Chart 2">
          <a:extLst>
            <a:ext uri="{FF2B5EF4-FFF2-40B4-BE49-F238E27FC236}">
              <a16:creationId xmlns:a16="http://schemas.microsoft.com/office/drawing/2014/main" id="{2EDE2737-BFEC-4BA0-BC04-039E60BCB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355600</xdr:colOff>
      <xdr:row>2</xdr:row>
      <xdr:rowOff>127000</xdr:rowOff>
    </xdr:from>
    <xdr:to>
      <xdr:col>32</xdr:col>
      <xdr:colOff>85090</xdr:colOff>
      <xdr:row>23</xdr:row>
      <xdr:rowOff>93980</xdr:rowOff>
    </xdr:to>
    <xdr:graphicFrame macro="">
      <xdr:nvGraphicFramePr>
        <xdr:cNvPr id="4" name="Chart 3">
          <a:extLst>
            <a:ext uri="{FF2B5EF4-FFF2-40B4-BE49-F238E27FC236}">
              <a16:creationId xmlns:a16="http://schemas.microsoft.com/office/drawing/2014/main" id="{D73D5528-5016-40F8-BBE7-9EF016B4A0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554990</xdr:colOff>
      <xdr:row>28</xdr:row>
      <xdr:rowOff>66040</xdr:rowOff>
    </xdr:from>
    <xdr:to>
      <xdr:col>13</xdr:col>
      <xdr:colOff>320040</xdr:colOff>
      <xdr:row>50</xdr:row>
      <xdr:rowOff>16510</xdr:rowOff>
    </xdr:to>
    <xdr:graphicFrame macro="">
      <xdr:nvGraphicFramePr>
        <xdr:cNvPr id="5" name="Chart 4">
          <a:extLst>
            <a:ext uri="{FF2B5EF4-FFF2-40B4-BE49-F238E27FC236}">
              <a16:creationId xmlns:a16="http://schemas.microsoft.com/office/drawing/2014/main" id="{4542AE0E-4907-4D2E-9543-49D5BE8BF2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269240</xdr:colOff>
      <xdr:row>28</xdr:row>
      <xdr:rowOff>53340</xdr:rowOff>
    </xdr:from>
    <xdr:to>
      <xdr:col>29</xdr:col>
      <xdr:colOff>427990</xdr:colOff>
      <xdr:row>49</xdr:row>
      <xdr:rowOff>157480</xdr:rowOff>
    </xdr:to>
    <xdr:graphicFrame macro="">
      <xdr:nvGraphicFramePr>
        <xdr:cNvPr id="6" name="Chart 5">
          <a:extLst>
            <a:ext uri="{FF2B5EF4-FFF2-40B4-BE49-F238E27FC236}">
              <a16:creationId xmlns:a16="http://schemas.microsoft.com/office/drawing/2014/main" id="{2E829ABC-8E8C-4589-B217-F0A38CB85F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494030</xdr:colOff>
      <xdr:row>2</xdr:row>
      <xdr:rowOff>154940</xdr:rowOff>
    </xdr:from>
    <xdr:to>
      <xdr:col>13</xdr:col>
      <xdr:colOff>13970</xdr:colOff>
      <xdr:row>23</xdr:row>
      <xdr:rowOff>173990</xdr:rowOff>
    </xdr:to>
    <xdr:graphicFrame macro="">
      <xdr:nvGraphicFramePr>
        <xdr:cNvPr id="13" name="Chart 12">
          <a:extLst>
            <a:ext uri="{FF2B5EF4-FFF2-40B4-BE49-F238E27FC236}">
              <a16:creationId xmlns:a16="http://schemas.microsoft.com/office/drawing/2014/main" id="{E2B8B725-DE95-41C4-9CE2-DF77EDEF7D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30</xdr:col>
      <xdr:colOff>459740</xdr:colOff>
      <xdr:row>27</xdr:row>
      <xdr:rowOff>146051</xdr:rowOff>
    </xdr:from>
    <xdr:to>
      <xdr:col>33</xdr:col>
      <xdr:colOff>226060</xdr:colOff>
      <xdr:row>37</xdr:row>
      <xdr:rowOff>0</xdr:rowOff>
    </xdr:to>
    <mc:AlternateContent xmlns:mc="http://schemas.openxmlformats.org/markup-compatibility/2006" xmlns:a14="http://schemas.microsoft.com/office/drawing/2010/main">
      <mc:Choice Requires="a14">
        <xdr:graphicFrame macro="">
          <xdr:nvGraphicFramePr>
            <xdr:cNvPr id="14" name="Category">
              <a:extLst>
                <a:ext uri="{FF2B5EF4-FFF2-40B4-BE49-F238E27FC236}">
                  <a16:creationId xmlns:a16="http://schemas.microsoft.com/office/drawing/2014/main" id="{4D2CECD8-040D-41A2-AF62-A43883F2969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8747740" y="5341621"/>
              <a:ext cx="1823720" cy="1690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471170</xdr:colOff>
      <xdr:row>37</xdr:row>
      <xdr:rowOff>83820</xdr:rowOff>
    </xdr:from>
    <xdr:to>
      <xdr:col>33</xdr:col>
      <xdr:colOff>231140</xdr:colOff>
      <xdr:row>50</xdr:row>
      <xdr:rowOff>0</xdr:rowOff>
    </xdr:to>
    <mc:AlternateContent xmlns:mc="http://schemas.openxmlformats.org/markup-compatibility/2006" xmlns:a14="http://schemas.microsoft.com/office/drawing/2010/main">
      <mc:Choice Requires="a14">
        <xdr:graphicFrame macro="">
          <xdr:nvGraphicFramePr>
            <xdr:cNvPr id="15" name="Supplier">
              <a:extLst>
                <a:ext uri="{FF2B5EF4-FFF2-40B4-BE49-F238E27FC236}">
                  <a16:creationId xmlns:a16="http://schemas.microsoft.com/office/drawing/2014/main" id="{AA988E3B-E20A-45FA-98BE-BC6457959C28}"/>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18756630" y="7118350"/>
              <a:ext cx="1827530" cy="23075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605790</xdr:colOff>
          <xdr:row>1</xdr:row>
          <xdr:rowOff>1270</xdr:rowOff>
        </xdr:from>
        <xdr:to>
          <xdr:col>13</xdr:col>
          <xdr:colOff>196850</xdr:colOff>
          <xdr:row>3</xdr:row>
          <xdr:rowOff>40640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Times New Roman"/>
                  <a:cs typeface="Times New Roman"/>
                </a:rPr>
                <a:t>Check Stock Levels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78740</xdr:rowOff>
        </xdr:from>
        <xdr:to>
          <xdr:col>10</xdr:col>
          <xdr:colOff>361950</xdr:colOff>
          <xdr:row>3</xdr:row>
          <xdr:rowOff>30480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Times New Roman"/>
                  <a:cs typeface="Times New Roman"/>
                </a:rPr>
                <a:t>Generate Low Stock Report</a:t>
              </a:r>
            </a:p>
          </xdr:txBody>
        </xdr:sp>
        <xdr:clientData fPrintsWithSheet="0"/>
      </xdr:twoCellAnchor>
    </mc:Choice>
    <mc:Fallback/>
  </mc:AlternateContent>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dwon Sagor" refreshedDate="45717.65896828704" backgroundQuery="1" createdVersion="8" refreshedVersion="8" minRefreshableVersion="3" recordCount="0" supportSubquery="1" supportAdvancedDrill="1" xr:uid="{951AE207-6514-4DC8-9A9C-185A25A6AA31}">
  <cacheSource type="external" connectionId="1"/>
  <cacheFields count="3">
    <cacheField name="[InventoryTable].[Product Name].[Product Name]" caption="Product Name" numFmtId="0" hierarchy="1" level="1">
      <sharedItems count="31">
        <s v="CCTV Camera"/>
        <s v="Cooling Pad"/>
        <s v="External HDD"/>
        <s v="Fingerprint Scanner"/>
        <s v="Gaming Mouse"/>
        <s v="Graphic Tablet"/>
        <s v="Hard Drive Enclosure"/>
        <s v="Headphones"/>
        <s v="Label Printer"/>
        <s v="Laptop"/>
        <s v="LED Panel"/>
        <s v="Mechanical Keyboard"/>
        <s v="Modem"/>
        <s v="Monitor"/>
        <s v="NAS Storage"/>
        <s v="Pen Drive"/>
        <s v="Printer"/>
        <s v="Projector"/>
        <s v="RAM Module"/>
        <s v="Smart Doorbell"/>
        <s v="Smartphone"/>
        <s v="Smartwatch"/>
        <s v="Surge Protector"/>
        <s v="Tablet"/>
        <s v="Thermal Printer"/>
        <s v="Tripod"/>
        <s v="VR Headset"/>
        <s v="Webcam"/>
        <s v="Whiteboard"/>
        <s v="Wireless Charger"/>
        <s v="Wireless Earbuds"/>
      </sharedItems>
    </cacheField>
    <cacheField name="[Measures].[Sum of Current Stock]" caption="Sum of Current Stock" numFmtId="0" hierarchy="22" level="32767"/>
    <cacheField name="[Measures].[Sum of Quantity Sold]" caption="Sum of Quantity Sold" numFmtId="0" hierarchy="23" level="32767"/>
  </cacheFields>
  <cacheHierarchies count="26">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2" memberValueDatatype="130" unbalanced="0">
      <fieldsUsage count="2">
        <fieldUsage x="-1"/>
        <fieldUsage x="0"/>
      </fieldsUsage>
    </cacheHierarchy>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Supplier]" caption="Supplier" attribute="1" defaultMemberUniqueName="[InventoryTable].[Supplier].[All]" allUniqueName="[InventoryTable].[Supplier].[All]" dimensionUniqueName="[InventoryTable]" displayFolder="" count="0" memberValueDatatype="130" unbalanced="0"/>
    <cacheHierarchy uniqueName="[InventoryTable].[Cost Price (€)]" caption="Cost Price (€)" attribute="1" defaultMemberUniqueName="[InventoryTable].[Cost Price (€)].[All]" allUniqueName="[InventoryTable].[Cost Price (€)].[All]" dimensionUniqueName="[InventoryTable]" displayFolder="" count="0" memberValueDatatype="20" unbalanced="0"/>
    <cacheHierarchy uniqueName="[InventoryTable].[Selling Price (€)]" caption="Selling Price (€)" attribute="1" defaultMemberUniqueName="[InventoryTable].[Selling Price (€)].[All]" allUniqueName="[InventoryTable].[Selling Price (€)].[All]" dimensionUniqueName="[InventoryTable]" displayFolder="" count="0" memberValueDatatype="5" unbalanced="0"/>
    <cacheHierarchy uniqueName="[InventoryTable].[Stock Quantity]" caption="Stock Quantity" attribute="1" defaultMemberUniqueName="[InventoryTable].[Stock Quantity].[All]" allUniqueName="[InventoryTable].[Stock Quantity].[All]" dimensionUniqueName="[InventoryTable]" displayFolder="" count="0" memberValueDatatype="20" unbalanced="0"/>
    <cacheHierarchy uniqueName="[InventoryTable].[Reorder Level]" caption="Reorder Level" attribute="1" defaultMemberUniqueName="[InventoryTable].[Reorder Level].[All]" allUniqueName="[InventoryTable].[Reorder Level].[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upplier ID]" caption="Supplier ID" attribute="1" defaultMemberUniqueName="[InventoryTable].[Supplier ID].[All]" allUniqueName="[InventoryTable].[Supplier ID].[All]" dimensionUniqueName="[InventoryTable]" displayFolder="" count="0" memberValueDatatype="130" unbalanced="0"/>
    <cacheHierarchy uniqueName="[SalesSummaryTable].[Transaction Date]" caption="Transaction Date" attribute="1" defaultMemberUniqueName="[SalesSummaryTable].[Transaction Date].[All]" allUniqueName="[SalesSummaryTable].[Transaction Date].[All]" dimensionUniqueName="[SalesSummaryTable]" displayFolder="" count="0" memberValueDatatype="130" unbalanced="0"/>
    <cacheHierarchy uniqueName="[SalesSummaryTable].[Month-Year]" caption="Month-Year" attribute="1" defaultMemberUniqueName="[SalesSummaryTable].[Month-Year].[All]" allUniqueName="[SalesSummaryTable].[Month-Year].[All]" dimensionUniqueName="[SalesSummaryTable]" displayFolder="" count="0" memberValueDatatype="130" unbalanced="0"/>
    <cacheHierarchy uniqueName="[SalesSummaryTable].[Product ID]" caption="Product ID" attribute="1" defaultMemberUniqueName="[SalesSummaryTable].[Product ID].[All]" allUniqueName="[SalesSummaryTable].[Product ID].[All]" dimensionUniqueName="[SalesSummaryTable]" displayFolder="" count="0" memberValueDatatype="130" unbalanced="0"/>
    <cacheHierarchy uniqueName="[SalesSummaryTable].[Product Name]" caption="Product Name" attribute="1" defaultMemberUniqueName="[SalesSummaryTable].[Product Name].[All]" allUniqueName="[SalesSummaryTable].[Product Name].[All]" dimensionUniqueName="[SalesSummaryTable]" displayFolder="" count="0" memberValueDatatype="130" unbalanced="0"/>
    <cacheHierarchy uniqueName="[SalesSummaryTable].[Category]" caption="Category" attribute="1" defaultMemberUniqueName="[SalesSummaryTable].[Category].[All]" allUniqueName="[SalesSummaryTable].[Category].[All]" dimensionUniqueName="[SalesSummaryTable]" displayFolder="" count="0" memberValueDatatype="130" unbalanced="0"/>
    <cacheHierarchy uniqueName="[SalesSummaryTable].[Supplier]" caption="Supplier" attribute="1" defaultMemberUniqueName="[SalesSummaryTable].[Supplier].[All]" allUniqueName="[SalesSummaryTable].[Supplier].[All]" dimensionUniqueName="[SalesSummaryTable]" displayFolder="" count="0" memberValueDatatype="130" unbalanced="0"/>
    <cacheHierarchy uniqueName="[SalesSummaryTable].[Quantity Sold]" caption="Quantity Sold" attribute="1" defaultMemberUniqueName="[SalesSummaryTable].[Quantity Sold].[All]" allUniqueName="[SalesSummaryTable].[Quantity Sold].[All]" dimensionUniqueName="[SalesSummaryTable]" displayFolder="" count="0" memberValueDatatype="20" unbalanced="0"/>
    <cacheHierarchy uniqueName="[SalesSummaryTable].[Selling Price (€)]" caption="Selling Price (€)" attribute="1" defaultMemberUniqueName="[SalesSummaryTable].[Selling Price (€)].[All]" allUniqueName="[SalesSummaryTable].[Selling Price (€)].[All]" dimensionUniqueName="[SalesSummaryTable]" displayFolder="" count="0" memberValueDatatype="5" unbalanced="0"/>
    <cacheHierarchy uniqueName="[SalesSummaryTable].[Total Sales (€)]" caption="Total Sales (€)" attribute="1" defaultMemberUniqueName="[SalesSummaryTable].[Total Sales (€)].[All]" allUniqueName="[SalesSummaryTable].[Total Sales (€)].[All]" dimensionUniqueName="[SalesSummaryTable]" displayFolder="" count="0" memberValueDatatype="5" unbalanced="0"/>
    <cacheHierarchy uniqueName="[Measures].[__XL_Count InventoryTable]" caption="__XL_Count InventoryTable" measure="1" displayFolder="" measureGroup="InventoryTable" count="0" hidden="1"/>
    <cacheHierarchy uniqueName="[Measures].[__XL_Count SalesSummaryTable]" caption="__XL_Count SalesSummaryTable" measure="1" displayFolder="" measureGroup="SalesSummaryTable" count="0" hidden="1"/>
    <cacheHierarchy uniqueName="[Measures].[__No measures defined]" caption="__No measures defined" measure="1" displayFolder="" count="0" hidden="1"/>
    <cacheHierarchy uniqueName="[Measures].[Sum of Current Stock]" caption="Sum of Current Stock" measure="1" displayFolder="" measureGroup="InventoryTabl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Quantity Sold]" caption="Sum of Quantity Sold" measure="1" displayFolder="" measureGroup="SalesSummaryTable"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Total Sales (€)]" caption="Sum of Total Sales (€)" measure="1" displayFolder="" measureGroup="SalesSummaryTable" count="0" hidden="1">
      <extLst>
        <ext xmlns:x15="http://schemas.microsoft.com/office/spreadsheetml/2010/11/main" uri="{B97F6D7D-B522-45F9-BDA1-12C45D357490}">
          <x15:cacheHierarchy aggregatedColumn="18"/>
        </ext>
      </extLst>
    </cacheHierarchy>
    <cacheHierarchy uniqueName="[Measures].[Sum of Cost Price (€)]" caption="Sum of Cost Price (€)" measure="1" displayFolder="" measureGroup="InventoryTable" count="0" hidden="1">
      <extLst>
        <ext xmlns:x15="http://schemas.microsoft.com/office/spreadsheetml/2010/11/main" uri="{B97F6D7D-B522-45F9-BDA1-12C45D357490}">
          <x15:cacheHierarchy aggregatedColumn="4"/>
        </ext>
      </extLst>
    </cacheHierarchy>
  </cacheHierarchies>
  <kpis count="0"/>
  <dimensions count="3">
    <dimension name="InventoryTable" uniqueName="[InventoryTable]" caption="InventoryTable"/>
    <dimension measure="1" name="Measures" uniqueName="[Measures]" caption="Measures"/>
    <dimension name="SalesSummaryTable" uniqueName="[SalesSummaryTable]" caption="SalesSummaryTable"/>
  </dimensions>
  <measureGroups count="2">
    <measureGroup name="InventoryTable" caption="InventoryTable"/>
    <measureGroup name="SalesSummaryTable" caption="SalesSummaryTabl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dwon Sagor" refreshedDate="45717.795195601851" createdVersion="8" refreshedVersion="8" minRefreshableVersion="3" recordCount="100" xr:uid="{E899392E-6433-4F28-B961-A9723D13402B}">
  <cacheSource type="worksheet">
    <worksheetSource name="SalesSummaryTable"/>
  </cacheSource>
  <cacheFields count="9">
    <cacheField name="Transaction Date" numFmtId="14">
      <sharedItems/>
    </cacheField>
    <cacheField name="Month-Year" numFmtId="14">
      <sharedItems count="3">
        <s v="Feb-2025"/>
        <s v="Dec-2024"/>
        <s v="Jan-2025"/>
      </sharedItems>
    </cacheField>
    <cacheField name="Product ID" numFmtId="0">
      <sharedItems/>
    </cacheField>
    <cacheField name="Product Name" numFmtId="0">
      <sharedItems count="35">
        <s v="CCTV Camera"/>
        <s v="Pen Drive"/>
        <s v="NAS Storage"/>
        <s v="Bluetooth Speaker"/>
        <s v="Surge Protector"/>
        <s v="Desk Lamp"/>
        <s v="Smartwatch"/>
        <s v="Tripod"/>
        <s v="Gaming Mouse"/>
        <s v="Graphic Tablet"/>
        <s v="Mouse"/>
        <s v="Scanner"/>
        <s v="Router"/>
        <s v="Monitor"/>
        <s v="Wireless Earbuds"/>
        <s v="Ethernet Cable"/>
        <s v="Server Rack"/>
        <s v="Whiteboard"/>
        <s v="SSD"/>
        <s v="WiFi Extender"/>
        <s v="External HDD"/>
        <s v="Smartphone"/>
        <s v="RAM Module"/>
        <s v="Hard Drive Enclosure"/>
        <s v="Game Controller"/>
        <s v="Thermal Printer"/>
        <s v="Power Bank"/>
        <s v="Cooling Pad"/>
        <s v="Laptop Stand"/>
        <s v="Projector"/>
        <s v="USB Drive"/>
        <s v="Headphones"/>
        <s v="Microphone"/>
        <s v="LED Panel"/>
        <s v="Tablet"/>
      </sharedItems>
    </cacheField>
    <cacheField name="Category" numFmtId="0">
      <sharedItems count="5">
        <s v="Office Supplies"/>
        <s v="Networking"/>
        <s v="Electronics"/>
        <s v="Accessories"/>
        <s v="Storage"/>
      </sharedItems>
    </cacheField>
    <cacheField name="Supplier" numFmtId="0">
      <sharedItems count="7">
        <s v="Gadgets Ltd"/>
        <s v="StoragePro"/>
        <s v="TechCorp"/>
        <s v="Office Essentials"/>
        <s v="Print Solutions"/>
        <s v="NetConnect"/>
        <s v="Display World"/>
      </sharedItems>
    </cacheField>
    <cacheField name="Quantity Sold" numFmtId="0">
      <sharedItems containsSemiMixedTypes="0" containsString="0" containsNumber="1" containsInteger="1" minValue="1" maxValue="10"/>
    </cacheField>
    <cacheField name="Selling Price (€)" numFmtId="1">
      <sharedItems containsSemiMixedTypes="0" containsString="0" containsNumber="1" minValue="68.59" maxValue="1340.61"/>
    </cacheField>
    <cacheField name="Total Sales (€)" numFmtId="1">
      <sharedItems containsSemiMixedTypes="0" containsString="0" containsNumber="1" minValue="132.94" maxValue="13406.099999999999"/>
    </cacheField>
  </cacheFields>
  <extLst>
    <ext xmlns:x14="http://schemas.microsoft.com/office/spreadsheetml/2009/9/main" uri="{725AE2AE-9491-48be-B2B4-4EB974FC3084}">
      <x14:pivotCacheDefinition pivotCacheId="17037148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2025-02-13"/>
    <x v="0"/>
    <s v="P027"/>
    <x v="0"/>
    <x v="0"/>
    <x v="0"/>
    <n v="3"/>
    <n v="395.15"/>
    <n v="1185.4499999999998"/>
  </r>
  <r>
    <s v="2024-12-17"/>
    <x v="1"/>
    <s v="P042"/>
    <x v="1"/>
    <x v="1"/>
    <x v="1"/>
    <n v="5"/>
    <n v="926.57"/>
    <n v="4632.8500000000004"/>
  </r>
  <r>
    <s v="2025-02-23"/>
    <x v="0"/>
    <s v="P008"/>
    <x v="2"/>
    <x v="0"/>
    <x v="2"/>
    <n v="2"/>
    <n v="307.95"/>
    <n v="615.9"/>
  </r>
  <r>
    <s v="2025-01-11"/>
    <x v="2"/>
    <s v="P016"/>
    <x v="3"/>
    <x v="2"/>
    <x v="1"/>
    <n v="4"/>
    <n v="278.7"/>
    <n v="1114.8"/>
  </r>
  <r>
    <s v="2025-02-20"/>
    <x v="0"/>
    <s v="P049"/>
    <x v="4"/>
    <x v="3"/>
    <x v="1"/>
    <n v="5"/>
    <n v="968.59"/>
    <n v="4842.95"/>
  </r>
  <r>
    <s v="2024-12-25"/>
    <x v="1"/>
    <s v="P016"/>
    <x v="3"/>
    <x v="2"/>
    <x v="1"/>
    <n v="1"/>
    <n v="278.7"/>
    <n v="278.7"/>
  </r>
  <r>
    <s v="2025-02-09"/>
    <x v="0"/>
    <s v="P005"/>
    <x v="5"/>
    <x v="1"/>
    <x v="3"/>
    <n v="2"/>
    <n v="442.21"/>
    <n v="884.42"/>
  </r>
  <r>
    <s v="2025-01-10"/>
    <x v="2"/>
    <s v="P002"/>
    <x v="6"/>
    <x v="2"/>
    <x v="3"/>
    <n v="8"/>
    <n v="508.96"/>
    <n v="4071.68"/>
  </r>
  <r>
    <s v="2025-02-10"/>
    <x v="0"/>
    <s v="P025"/>
    <x v="0"/>
    <x v="4"/>
    <x v="4"/>
    <n v="10"/>
    <n v="363.47"/>
    <n v="3634.7000000000003"/>
  </r>
  <r>
    <s v="2025-01-19"/>
    <x v="2"/>
    <s v="P042"/>
    <x v="1"/>
    <x v="1"/>
    <x v="1"/>
    <n v="4"/>
    <n v="926.57"/>
    <n v="3706.28"/>
  </r>
  <r>
    <s v="2025-02-04"/>
    <x v="0"/>
    <s v="P032"/>
    <x v="7"/>
    <x v="3"/>
    <x v="0"/>
    <n v="4"/>
    <n v="68.59"/>
    <n v="274.36"/>
  </r>
  <r>
    <s v="2025-01-07"/>
    <x v="2"/>
    <s v="P050"/>
    <x v="8"/>
    <x v="2"/>
    <x v="5"/>
    <n v="4"/>
    <n v="538.09"/>
    <n v="2152.36"/>
  </r>
  <r>
    <s v="2025-01-08"/>
    <x v="2"/>
    <s v="P011"/>
    <x v="9"/>
    <x v="3"/>
    <x v="5"/>
    <n v="4"/>
    <n v="196.2"/>
    <n v="784.8"/>
  </r>
  <r>
    <s v="2024-12-30"/>
    <x v="1"/>
    <s v="P044"/>
    <x v="10"/>
    <x v="1"/>
    <x v="2"/>
    <n v="1"/>
    <n v="316.54000000000002"/>
    <n v="316.54000000000002"/>
  </r>
  <r>
    <s v="2025-01-02"/>
    <x v="2"/>
    <s v="P010"/>
    <x v="11"/>
    <x v="4"/>
    <x v="5"/>
    <n v="8"/>
    <n v="132.94"/>
    <n v="1063.52"/>
  </r>
  <r>
    <s v="2025-01-22"/>
    <x v="2"/>
    <s v="P013"/>
    <x v="12"/>
    <x v="4"/>
    <x v="2"/>
    <n v="8"/>
    <n v="910.18"/>
    <n v="7281.44"/>
  </r>
  <r>
    <s v="2024-12-27"/>
    <x v="1"/>
    <s v="P035"/>
    <x v="13"/>
    <x v="0"/>
    <x v="1"/>
    <n v="6"/>
    <n v="294.07"/>
    <n v="1764.42"/>
  </r>
  <r>
    <s v="2024-12-26"/>
    <x v="1"/>
    <s v="P002"/>
    <x v="6"/>
    <x v="2"/>
    <x v="3"/>
    <n v="8"/>
    <n v="508.96"/>
    <n v="4071.68"/>
  </r>
  <r>
    <s v="2024-12-16"/>
    <x v="1"/>
    <s v="P008"/>
    <x v="2"/>
    <x v="0"/>
    <x v="2"/>
    <n v="1"/>
    <n v="307.95"/>
    <n v="307.95"/>
  </r>
  <r>
    <s v="2025-02-22"/>
    <x v="0"/>
    <s v="P038"/>
    <x v="1"/>
    <x v="1"/>
    <x v="5"/>
    <n v="10"/>
    <n v="353.79"/>
    <n v="3537.9"/>
  </r>
  <r>
    <s v="2025-02-26"/>
    <x v="0"/>
    <s v="P001"/>
    <x v="9"/>
    <x v="3"/>
    <x v="4"/>
    <n v="3"/>
    <n v="291.12"/>
    <n v="873.36"/>
  </r>
  <r>
    <s v="2025-01-21"/>
    <x v="2"/>
    <s v="P043"/>
    <x v="3"/>
    <x v="0"/>
    <x v="4"/>
    <n v="9"/>
    <n v="394.87"/>
    <n v="3553.83"/>
  </r>
  <r>
    <s v="2025-01-12"/>
    <x v="2"/>
    <s v="P033"/>
    <x v="14"/>
    <x v="3"/>
    <x v="0"/>
    <n v="1"/>
    <n v="749.76"/>
    <n v="749.76"/>
  </r>
  <r>
    <s v="2025-02-25"/>
    <x v="0"/>
    <s v="P049"/>
    <x v="4"/>
    <x v="3"/>
    <x v="1"/>
    <n v="7"/>
    <n v="968.59"/>
    <n v="6780.13"/>
  </r>
  <r>
    <s v="2025-02-27"/>
    <x v="0"/>
    <s v="P014"/>
    <x v="15"/>
    <x v="4"/>
    <x v="5"/>
    <n v="8"/>
    <n v="503.57"/>
    <n v="4028.56"/>
  </r>
  <r>
    <s v="2025-01-20"/>
    <x v="2"/>
    <s v="P030"/>
    <x v="9"/>
    <x v="1"/>
    <x v="0"/>
    <n v="10"/>
    <n v="677.73"/>
    <n v="6777.3"/>
  </r>
  <r>
    <s v="2025-01-18"/>
    <x v="2"/>
    <s v="P039"/>
    <x v="16"/>
    <x v="3"/>
    <x v="0"/>
    <n v="1"/>
    <n v="364.76"/>
    <n v="364.76"/>
  </r>
  <r>
    <s v="2024-12-26"/>
    <x v="1"/>
    <s v="P016"/>
    <x v="3"/>
    <x v="2"/>
    <x v="1"/>
    <n v="4"/>
    <n v="278.7"/>
    <n v="1114.8"/>
  </r>
  <r>
    <s v="2025-01-11"/>
    <x v="2"/>
    <s v="P021"/>
    <x v="17"/>
    <x v="2"/>
    <x v="1"/>
    <n v="3"/>
    <n v="253.15"/>
    <n v="759.45"/>
  </r>
  <r>
    <s v="2025-01-05"/>
    <x v="2"/>
    <s v="P004"/>
    <x v="18"/>
    <x v="2"/>
    <x v="6"/>
    <n v="6"/>
    <n v="269.74"/>
    <n v="1618.44"/>
  </r>
  <r>
    <s v="2025-02-19"/>
    <x v="0"/>
    <s v="P029"/>
    <x v="19"/>
    <x v="3"/>
    <x v="1"/>
    <n v="2"/>
    <n v="372.11"/>
    <n v="744.22"/>
  </r>
  <r>
    <s v="2025-02-21"/>
    <x v="0"/>
    <s v="P002"/>
    <x v="6"/>
    <x v="2"/>
    <x v="3"/>
    <n v="4"/>
    <n v="508.96"/>
    <n v="2035.84"/>
  </r>
  <r>
    <s v="2025-02-19"/>
    <x v="0"/>
    <s v="P036"/>
    <x v="20"/>
    <x v="0"/>
    <x v="0"/>
    <n v="10"/>
    <n v="1340.61"/>
    <n v="13406.099999999999"/>
  </r>
  <r>
    <s v="2025-01-03"/>
    <x v="2"/>
    <s v="P050"/>
    <x v="8"/>
    <x v="2"/>
    <x v="5"/>
    <n v="10"/>
    <n v="538.09"/>
    <n v="5380.9000000000005"/>
  </r>
  <r>
    <s v="2025-01-29"/>
    <x v="2"/>
    <s v="P008"/>
    <x v="2"/>
    <x v="0"/>
    <x v="2"/>
    <n v="5"/>
    <n v="307.95"/>
    <n v="1539.75"/>
  </r>
  <r>
    <s v="2024-12-25"/>
    <x v="1"/>
    <s v="P011"/>
    <x v="9"/>
    <x v="3"/>
    <x v="5"/>
    <n v="8"/>
    <n v="196.2"/>
    <n v="1569.6"/>
  </r>
  <r>
    <s v="2025-02-28"/>
    <x v="0"/>
    <s v="P034"/>
    <x v="21"/>
    <x v="0"/>
    <x v="0"/>
    <n v="1"/>
    <n v="302.31"/>
    <n v="302.31"/>
  </r>
  <r>
    <s v="2024-12-18"/>
    <x v="1"/>
    <s v="P027"/>
    <x v="0"/>
    <x v="0"/>
    <x v="0"/>
    <n v="4"/>
    <n v="395.15"/>
    <n v="1580.6"/>
  </r>
  <r>
    <s v="2024-12-06"/>
    <x v="1"/>
    <s v="P033"/>
    <x v="14"/>
    <x v="3"/>
    <x v="0"/>
    <n v="2"/>
    <n v="749.76"/>
    <n v="1499.52"/>
  </r>
  <r>
    <s v="2025-01-07"/>
    <x v="2"/>
    <s v="P030"/>
    <x v="9"/>
    <x v="1"/>
    <x v="0"/>
    <n v="6"/>
    <n v="677.73"/>
    <n v="4066.38"/>
  </r>
  <r>
    <s v="2025-01-16"/>
    <x v="2"/>
    <s v="P036"/>
    <x v="20"/>
    <x v="0"/>
    <x v="0"/>
    <n v="3"/>
    <n v="1340.61"/>
    <n v="4021.83"/>
  </r>
  <r>
    <s v="2025-01-17"/>
    <x v="2"/>
    <s v="P035"/>
    <x v="13"/>
    <x v="0"/>
    <x v="1"/>
    <n v="9"/>
    <n v="294.07"/>
    <n v="2646.63"/>
  </r>
  <r>
    <s v="2024-12-25"/>
    <x v="1"/>
    <s v="P012"/>
    <x v="22"/>
    <x v="4"/>
    <x v="5"/>
    <n v="1"/>
    <n v="269.32"/>
    <n v="269.32"/>
  </r>
  <r>
    <s v="2025-01-25"/>
    <x v="2"/>
    <s v="P018"/>
    <x v="23"/>
    <x v="1"/>
    <x v="3"/>
    <n v="8"/>
    <n v="336.04"/>
    <n v="2688.32"/>
  </r>
  <r>
    <s v="2025-02-04"/>
    <x v="0"/>
    <s v="P019"/>
    <x v="24"/>
    <x v="2"/>
    <x v="2"/>
    <n v="7"/>
    <n v="170.61"/>
    <n v="1194.27"/>
  </r>
  <r>
    <s v="2024-12-16"/>
    <x v="1"/>
    <s v="P048"/>
    <x v="25"/>
    <x v="2"/>
    <x v="6"/>
    <n v="1"/>
    <n v="1053.3800000000001"/>
    <n v="1053.3800000000001"/>
  </r>
  <r>
    <s v="2025-02-06"/>
    <x v="0"/>
    <s v="P032"/>
    <x v="7"/>
    <x v="3"/>
    <x v="0"/>
    <n v="9"/>
    <n v="68.59"/>
    <n v="617.31000000000006"/>
  </r>
  <r>
    <s v="2025-02-25"/>
    <x v="0"/>
    <s v="P033"/>
    <x v="14"/>
    <x v="3"/>
    <x v="0"/>
    <n v="8"/>
    <n v="749.76"/>
    <n v="5998.08"/>
  </r>
  <r>
    <s v="2024-12-17"/>
    <x v="1"/>
    <s v="P018"/>
    <x v="23"/>
    <x v="1"/>
    <x v="3"/>
    <n v="9"/>
    <n v="336.04"/>
    <n v="3024.36"/>
  </r>
  <r>
    <s v="2025-02-03"/>
    <x v="0"/>
    <s v="P002"/>
    <x v="6"/>
    <x v="2"/>
    <x v="3"/>
    <n v="5"/>
    <n v="508.96"/>
    <n v="2544.7999999999997"/>
  </r>
  <r>
    <s v="2024-12-05"/>
    <x v="1"/>
    <s v="P037"/>
    <x v="0"/>
    <x v="0"/>
    <x v="0"/>
    <n v="1"/>
    <n v="982.88"/>
    <n v="982.88"/>
  </r>
  <r>
    <s v="2025-01-03"/>
    <x v="2"/>
    <s v="P022"/>
    <x v="26"/>
    <x v="0"/>
    <x v="2"/>
    <n v="8"/>
    <n v="466.36"/>
    <n v="3730.88"/>
  </r>
  <r>
    <s v="2025-01-15"/>
    <x v="2"/>
    <s v="P001"/>
    <x v="9"/>
    <x v="3"/>
    <x v="4"/>
    <n v="2"/>
    <n v="291.12"/>
    <n v="582.24"/>
  </r>
  <r>
    <s v="2025-02-20"/>
    <x v="0"/>
    <s v="P012"/>
    <x v="22"/>
    <x v="4"/>
    <x v="5"/>
    <n v="2"/>
    <n v="269.32"/>
    <n v="538.64"/>
  </r>
  <r>
    <s v="2024-12-31"/>
    <x v="1"/>
    <s v="P048"/>
    <x v="25"/>
    <x v="2"/>
    <x v="6"/>
    <n v="6"/>
    <n v="1053.3800000000001"/>
    <n v="6320.2800000000007"/>
  </r>
  <r>
    <s v="2025-02-02"/>
    <x v="0"/>
    <s v="P043"/>
    <x v="3"/>
    <x v="0"/>
    <x v="4"/>
    <n v="2"/>
    <n v="394.87"/>
    <n v="789.74"/>
  </r>
  <r>
    <s v="2025-01-23"/>
    <x v="2"/>
    <s v="P047"/>
    <x v="27"/>
    <x v="1"/>
    <x v="5"/>
    <n v="1"/>
    <n v="911.95"/>
    <n v="911.95"/>
  </r>
  <r>
    <s v="2024-12-25"/>
    <x v="1"/>
    <s v="P026"/>
    <x v="28"/>
    <x v="1"/>
    <x v="5"/>
    <n v="10"/>
    <n v="628.86"/>
    <n v="6288.6"/>
  </r>
  <r>
    <s v="2025-01-31"/>
    <x v="2"/>
    <s v="P007"/>
    <x v="29"/>
    <x v="3"/>
    <x v="1"/>
    <n v="1"/>
    <n v="1075.8499999999999"/>
    <n v="1075.8499999999999"/>
  </r>
  <r>
    <s v="2024-12-12"/>
    <x v="1"/>
    <s v="P007"/>
    <x v="29"/>
    <x v="3"/>
    <x v="1"/>
    <n v="9"/>
    <n v="1075.8499999999999"/>
    <n v="9682.65"/>
  </r>
  <r>
    <s v="2025-01-15"/>
    <x v="2"/>
    <s v="P017"/>
    <x v="30"/>
    <x v="0"/>
    <x v="3"/>
    <n v="8"/>
    <n v="343.35"/>
    <n v="2746.8"/>
  </r>
  <r>
    <s v="2025-01-16"/>
    <x v="2"/>
    <s v="P039"/>
    <x v="16"/>
    <x v="3"/>
    <x v="0"/>
    <n v="7"/>
    <n v="364.76"/>
    <n v="2553.3199999999997"/>
  </r>
  <r>
    <s v="2025-02-01"/>
    <x v="0"/>
    <s v="P034"/>
    <x v="21"/>
    <x v="0"/>
    <x v="0"/>
    <n v="8"/>
    <n v="302.31"/>
    <n v="2418.48"/>
  </r>
  <r>
    <s v="2025-02-17"/>
    <x v="0"/>
    <s v="P041"/>
    <x v="31"/>
    <x v="0"/>
    <x v="5"/>
    <n v="2"/>
    <n v="114.65"/>
    <n v="229.3"/>
  </r>
  <r>
    <s v="2025-01-20"/>
    <x v="2"/>
    <s v="P033"/>
    <x v="14"/>
    <x v="3"/>
    <x v="0"/>
    <n v="1"/>
    <n v="749.76"/>
    <n v="749.76"/>
  </r>
  <r>
    <s v="2025-02-12"/>
    <x v="0"/>
    <s v="P009"/>
    <x v="2"/>
    <x v="2"/>
    <x v="1"/>
    <n v="10"/>
    <n v="245.74"/>
    <n v="2457.4"/>
  </r>
  <r>
    <s v="2025-01-18"/>
    <x v="2"/>
    <s v="P013"/>
    <x v="12"/>
    <x v="4"/>
    <x v="2"/>
    <n v="9"/>
    <n v="910.18"/>
    <n v="8191.62"/>
  </r>
  <r>
    <s v="2025-01-01"/>
    <x v="2"/>
    <s v="P025"/>
    <x v="0"/>
    <x v="4"/>
    <x v="4"/>
    <n v="9"/>
    <n v="363.47"/>
    <n v="3271.2300000000005"/>
  </r>
  <r>
    <s v="2024-12-17"/>
    <x v="1"/>
    <s v="P042"/>
    <x v="1"/>
    <x v="1"/>
    <x v="1"/>
    <n v="2"/>
    <n v="926.57"/>
    <n v="1853.14"/>
  </r>
  <r>
    <s v="2024-12-13"/>
    <x v="1"/>
    <s v="P045"/>
    <x v="26"/>
    <x v="3"/>
    <x v="0"/>
    <n v="2"/>
    <n v="554.55999999999995"/>
    <n v="1109.1199999999999"/>
  </r>
  <r>
    <s v="2025-01-11"/>
    <x v="2"/>
    <s v="P012"/>
    <x v="22"/>
    <x v="4"/>
    <x v="5"/>
    <n v="10"/>
    <n v="269.32"/>
    <n v="2693.2"/>
  </r>
  <r>
    <s v="2024-12-27"/>
    <x v="1"/>
    <s v="P045"/>
    <x v="26"/>
    <x v="3"/>
    <x v="0"/>
    <n v="6"/>
    <n v="554.55999999999995"/>
    <n v="3327.3599999999997"/>
  </r>
  <r>
    <s v="2025-01-24"/>
    <x v="2"/>
    <s v="P036"/>
    <x v="20"/>
    <x v="0"/>
    <x v="0"/>
    <n v="8"/>
    <n v="1340.61"/>
    <n v="10724.88"/>
  </r>
  <r>
    <s v="2024-12-31"/>
    <x v="1"/>
    <s v="P010"/>
    <x v="11"/>
    <x v="4"/>
    <x v="5"/>
    <n v="1"/>
    <n v="132.94"/>
    <n v="132.94"/>
  </r>
  <r>
    <s v="2025-02-28"/>
    <x v="0"/>
    <s v="P017"/>
    <x v="30"/>
    <x v="0"/>
    <x v="3"/>
    <n v="5"/>
    <n v="343.35"/>
    <n v="1716.75"/>
  </r>
  <r>
    <s v="2025-02-06"/>
    <x v="0"/>
    <s v="P031"/>
    <x v="32"/>
    <x v="1"/>
    <x v="2"/>
    <n v="2"/>
    <n v="321.79000000000002"/>
    <n v="643.58000000000004"/>
  </r>
  <r>
    <s v="2024-12-12"/>
    <x v="1"/>
    <s v="P006"/>
    <x v="8"/>
    <x v="3"/>
    <x v="3"/>
    <n v="2"/>
    <n v="163.69"/>
    <n v="327.38"/>
  </r>
  <r>
    <s v="2024-12-25"/>
    <x v="1"/>
    <s v="P046"/>
    <x v="10"/>
    <x v="3"/>
    <x v="1"/>
    <n v="1"/>
    <n v="1057.68"/>
    <n v="1057.68"/>
  </r>
  <r>
    <s v="2025-02-01"/>
    <x v="0"/>
    <s v="P038"/>
    <x v="1"/>
    <x v="1"/>
    <x v="5"/>
    <n v="8"/>
    <n v="353.79"/>
    <n v="2830.32"/>
  </r>
  <r>
    <s v="2025-01-02"/>
    <x v="2"/>
    <s v="P035"/>
    <x v="13"/>
    <x v="0"/>
    <x v="1"/>
    <n v="8"/>
    <n v="294.07"/>
    <n v="2352.56"/>
  </r>
  <r>
    <s v="2025-01-06"/>
    <x v="2"/>
    <s v="P027"/>
    <x v="0"/>
    <x v="0"/>
    <x v="0"/>
    <n v="4"/>
    <n v="395.15"/>
    <n v="1580.6"/>
  </r>
  <r>
    <s v="2025-01-24"/>
    <x v="2"/>
    <s v="P013"/>
    <x v="12"/>
    <x v="4"/>
    <x v="2"/>
    <n v="6"/>
    <n v="910.18"/>
    <n v="5461.08"/>
  </r>
  <r>
    <s v="2025-01-15"/>
    <x v="2"/>
    <s v="P007"/>
    <x v="29"/>
    <x v="3"/>
    <x v="1"/>
    <n v="10"/>
    <n v="1075.8499999999999"/>
    <n v="10758.5"/>
  </r>
  <r>
    <s v="2024-12-13"/>
    <x v="1"/>
    <s v="P003"/>
    <x v="33"/>
    <x v="3"/>
    <x v="2"/>
    <n v="9"/>
    <n v="693.89"/>
    <n v="6245.01"/>
  </r>
  <r>
    <s v="2024-12-21"/>
    <x v="1"/>
    <s v="P009"/>
    <x v="2"/>
    <x v="2"/>
    <x v="1"/>
    <n v="4"/>
    <n v="245.74"/>
    <n v="982.96"/>
  </r>
  <r>
    <s v="2024-12-19"/>
    <x v="1"/>
    <s v="P024"/>
    <x v="11"/>
    <x v="3"/>
    <x v="1"/>
    <n v="1"/>
    <n v="917.35"/>
    <n v="917.35"/>
  </r>
  <r>
    <s v="2024-12-11"/>
    <x v="1"/>
    <s v="P024"/>
    <x v="11"/>
    <x v="3"/>
    <x v="1"/>
    <n v="10"/>
    <n v="917.35"/>
    <n v="9173.5"/>
  </r>
  <r>
    <s v="2025-02-24"/>
    <x v="0"/>
    <s v="P010"/>
    <x v="11"/>
    <x v="4"/>
    <x v="5"/>
    <n v="3"/>
    <n v="132.94"/>
    <n v="398.82"/>
  </r>
  <r>
    <s v="2024-12-19"/>
    <x v="1"/>
    <s v="P043"/>
    <x v="3"/>
    <x v="0"/>
    <x v="4"/>
    <n v="9"/>
    <n v="394.87"/>
    <n v="3553.83"/>
  </r>
  <r>
    <s v="2025-01-20"/>
    <x v="2"/>
    <s v="P024"/>
    <x v="11"/>
    <x v="3"/>
    <x v="1"/>
    <n v="7"/>
    <n v="917.35"/>
    <n v="6421.45"/>
  </r>
  <r>
    <s v="2024-12-12"/>
    <x v="1"/>
    <s v="P045"/>
    <x v="26"/>
    <x v="3"/>
    <x v="0"/>
    <n v="3"/>
    <n v="554.55999999999995"/>
    <n v="1663.6799999999998"/>
  </r>
  <r>
    <s v="2025-01-06"/>
    <x v="2"/>
    <s v="P044"/>
    <x v="10"/>
    <x v="1"/>
    <x v="2"/>
    <n v="2"/>
    <n v="316.54000000000002"/>
    <n v="633.08000000000004"/>
  </r>
  <r>
    <s v="2025-01-01"/>
    <x v="2"/>
    <s v="P026"/>
    <x v="28"/>
    <x v="1"/>
    <x v="5"/>
    <n v="5"/>
    <n v="628.86"/>
    <n v="3144.3"/>
  </r>
  <r>
    <s v="2024-12-23"/>
    <x v="1"/>
    <s v="P047"/>
    <x v="27"/>
    <x v="1"/>
    <x v="5"/>
    <n v="7"/>
    <n v="911.95"/>
    <n v="6383.6500000000005"/>
  </r>
  <r>
    <s v="2024-12-03"/>
    <x v="1"/>
    <s v="P017"/>
    <x v="30"/>
    <x v="0"/>
    <x v="3"/>
    <n v="8"/>
    <n v="343.35"/>
    <n v="2746.8"/>
  </r>
  <r>
    <s v="2024-12-23"/>
    <x v="1"/>
    <s v="P020"/>
    <x v="34"/>
    <x v="4"/>
    <x v="0"/>
    <n v="10"/>
    <n v="224.56"/>
    <n v="2245.6"/>
  </r>
  <r>
    <s v="2025-01-16"/>
    <x v="2"/>
    <s v="P049"/>
    <x v="4"/>
    <x v="3"/>
    <x v="1"/>
    <n v="4"/>
    <n v="968.59"/>
    <n v="3874.36"/>
  </r>
  <r>
    <s v="2024-12-01"/>
    <x v="1"/>
    <s v="P010"/>
    <x v="11"/>
    <x v="4"/>
    <x v="5"/>
    <n v="6"/>
    <n v="132.94"/>
    <n v="797.64"/>
  </r>
  <r>
    <s v="2025-02-28"/>
    <x v="0"/>
    <s v="P009"/>
    <x v="2"/>
    <x v="2"/>
    <x v="1"/>
    <n v="3"/>
    <n v="245.74"/>
    <n v="737.22"/>
  </r>
  <r>
    <s v="2024-12-30"/>
    <x v="1"/>
    <s v="P006"/>
    <x v="8"/>
    <x v="3"/>
    <x v="3"/>
    <n v="6"/>
    <n v="163.69"/>
    <n v="982.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0A77ED-B16E-4E65-87E9-B6A111FD3A9E}" name="Supplier&amp;Sale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Supplier">
  <location ref="O1:P9" firstHeaderRow="1" firstDataRow="1" firstDataCol="1"/>
  <pivotFields count="9">
    <pivotField showAll="0"/>
    <pivotField showAll="0"/>
    <pivotField showAll="0"/>
    <pivotField showAll="0"/>
    <pivotField showAll="0"/>
    <pivotField axis="axisRow" showAll="0">
      <items count="8">
        <item x="6"/>
        <item x="0"/>
        <item x="5"/>
        <item x="3"/>
        <item x="4"/>
        <item x="1"/>
        <item x="2"/>
        <item t="default"/>
      </items>
    </pivotField>
    <pivotField showAll="0"/>
    <pivotField numFmtId="1" showAll="0"/>
    <pivotField dataField="1" numFmtId="1" showAll="0"/>
  </pivotFields>
  <rowFields count="1">
    <field x="5"/>
  </rowFields>
  <rowItems count="8">
    <i>
      <x/>
    </i>
    <i>
      <x v="1"/>
    </i>
    <i>
      <x v="2"/>
    </i>
    <i>
      <x v="3"/>
    </i>
    <i>
      <x v="4"/>
    </i>
    <i>
      <x v="5"/>
    </i>
    <i>
      <x v="6"/>
    </i>
    <i t="grand">
      <x/>
    </i>
  </rowItems>
  <colItems count="1">
    <i/>
  </colItems>
  <dataFields count="1">
    <dataField name="Sum of Total Sales (€)" fld="8" baseField="0" baseItem="0" numFmtId="1"/>
  </dataFields>
  <chartFormats count="2">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E505FC-562E-410C-8D70-0AABFD6FEE93}" name="Salesbycategory"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Product Category">
  <location ref="K1:L7" firstHeaderRow="1" firstDataRow="1" firstDataCol="1"/>
  <pivotFields count="9">
    <pivotField showAll="0"/>
    <pivotField showAll="0"/>
    <pivotField showAll="0"/>
    <pivotField showAll="0"/>
    <pivotField axis="axisRow" showAll="0">
      <items count="6">
        <item x="3"/>
        <item x="2"/>
        <item x="1"/>
        <item x="0"/>
        <item x="4"/>
        <item t="default"/>
      </items>
    </pivotField>
    <pivotField showAll="0"/>
    <pivotField showAll="0"/>
    <pivotField numFmtId="1" showAll="0"/>
    <pivotField dataField="1" numFmtId="1" showAll="0"/>
  </pivotFields>
  <rowFields count="1">
    <field x="4"/>
  </rowFields>
  <rowItems count="6">
    <i>
      <x/>
    </i>
    <i>
      <x v="1"/>
    </i>
    <i>
      <x v="2"/>
    </i>
    <i>
      <x v="3"/>
    </i>
    <i>
      <x v="4"/>
    </i>
    <i t="grand">
      <x/>
    </i>
  </rowItems>
  <colItems count="1">
    <i/>
  </colItems>
  <dataFields count="1">
    <dataField name="Sum of Total Sales (€)" fld="8" baseField="0" baseItem="0" numFmtId="1"/>
  </dataField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4" count="1" selected="0">
            <x v="0"/>
          </reference>
        </references>
      </pivotArea>
    </chartFormat>
    <chartFormat chart="3" format="9">
      <pivotArea type="data" outline="0" fieldPosition="0">
        <references count="2">
          <reference field="4294967294" count="1" selected="0">
            <x v="0"/>
          </reference>
          <reference field="4" count="1" selected="0">
            <x v="1"/>
          </reference>
        </references>
      </pivotArea>
    </chartFormat>
    <chartFormat chart="3" format="10">
      <pivotArea type="data" outline="0" fieldPosition="0">
        <references count="2">
          <reference field="4294967294" count="1" selected="0">
            <x v="0"/>
          </reference>
          <reference field="4" count="1" selected="0">
            <x v="2"/>
          </reference>
        </references>
      </pivotArea>
    </chartFormat>
    <chartFormat chart="3" format="11">
      <pivotArea type="data" outline="0" fieldPosition="0">
        <references count="2">
          <reference field="4294967294" count="1" selected="0">
            <x v="0"/>
          </reference>
          <reference field="4" count="1" selected="0">
            <x v="3"/>
          </reference>
        </references>
      </pivotArea>
    </chartFormat>
    <chartFormat chart="3" format="12">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DCD8F74-A9B2-4589-8A87-9AFDA0F830DA}" name="SalesperMonth"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Month">
  <location ref="G1:H5" firstHeaderRow="1" firstDataRow="1" firstDataCol="1"/>
  <pivotFields count="9">
    <pivotField showAll="0"/>
    <pivotField axis="axisRow" showAll="0">
      <items count="4">
        <item x="1"/>
        <item x="0"/>
        <item x="2"/>
        <item t="default"/>
      </items>
    </pivotField>
    <pivotField showAll="0"/>
    <pivotField showAll="0"/>
    <pivotField showAll="0"/>
    <pivotField showAll="0"/>
    <pivotField showAll="0"/>
    <pivotField numFmtId="1" showAll="0"/>
    <pivotField dataField="1" numFmtId="1" showAll="0"/>
  </pivotFields>
  <rowFields count="1">
    <field x="1"/>
  </rowFields>
  <rowItems count="4">
    <i>
      <x/>
    </i>
    <i>
      <x v="1"/>
    </i>
    <i>
      <x v="2"/>
    </i>
    <i t="grand">
      <x/>
    </i>
  </rowItems>
  <colItems count="1">
    <i/>
  </colItems>
  <dataFields count="1">
    <dataField name="Sum of Total Sales (€)" fld="8" baseField="0" baseItem="0" numFmtId="1"/>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28B3CF-B8D7-4CA0-BB9C-F9D6342BF011}" name="SalesSummary"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rowHeaderCaption="Product Name">
  <location ref="A1:B37" firstHeaderRow="1" firstDataRow="1" firstDataCol="1"/>
  <pivotFields count="9">
    <pivotField showAll="0"/>
    <pivotField showAll="0"/>
    <pivotField showAll="0"/>
    <pivotField axis="axisRow" showAll="0" sortType="descending">
      <items count="36">
        <item x="3"/>
        <item x="0"/>
        <item x="27"/>
        <item x="5"/>
        <item x="15"/>
        <item x="20"/>
        <item x="24"/>
        <item x="8"/>
        <item x="9"/>
        <item x="23"/>
        <item x="31"/>
        <item x="28"/>
        <item x="33"/>
        <item x="32"/>
        <item x="13"/>
        <item x="10"/>
        <item x="2"/>
        <item x="1"/>
        <item x="26"/>
        <item x="29"/>
        <item x="22"/>
        <item x="12"/>
        <item x="11"/>
        <item x="16"/>
        <item x="21"/>
        <item x="6"/>
        <item x="18"/>
        <item x="4"/>
        <item x="34"/>
        <item x="25"/>
        <item x="7"/>
        <item x="30"/>
        <item x="17"/>
        <item x="19"/>
        <item x="14"/>
        <item t="default"/>
      </items>
      <autoSortScope>
        <pivotArea dataOnly="0" outline="0" fieldPosition="0">
          <references count="1">
            <reference field="4294967294" count="1" selected="0">
              <x v="0"/>
            </reference>
          </references>
        </pivotArea>
      </autoSortScope>
    </pivotField>
    <pivotField showAll="0">
      <items count="6">
        <item x="3"/>
        <item x="2"/>
        <item x="1"/>
        <item x="0"/>
        <item x="4"/>
        <item t="default"/>
      </items>
    </pivotField>
    <pivotField showAll="0">
      <items count="8">
        <item x="6"/>
        <item x="0"/>
        <item x="5"/>
        <item x="3"/>
        <item x="4"/>
        <item x="1"/>
        <item x="2"/>
        <item t="default"/>
      </items>
    </pivotField>
    <pivotField showAll="0"/>
    <pivotField numFmtId="1" showAll="0"/>
    <pivotField dataField="1" numFmtId="1" showAll="0"/>
  </pivotFields>
  <rowFields count="1">
    <field x="3"/>
  </rowFields>
  <rowItems count="36">
    <i>
      <x v="5"/>
    </i>
    <i>
      <x v="19"/>
    </i>
    <i>
      <x v="21"/>
    </i>
    <i>
      <x v="22"/>
    </i>
    <i>
      <x v="17"/>
    </i>
    <i>
      <x v="27"/>
    </i>
    <i>
      <x v="8"/>
    </i>
    <i>
      <x v="25"/>
    </i>
    <i>
      <x v="1"/>
    </i>
    <i>
      <x/>
    </i>
    <i>
      <x v="18"/>
    </i>
    <i>
      <x v="11"/>
    </i>
    <i>
      <x v="34"/>
    </i>
    <i>
      <x v="7"/>
    </i>
    <i>
      <x v="29"/>
    </i>
    <i>
      <x v="2"/>
    </i>
    <i>
      <x v="31"/>
    </i>
    <i>
      <x v="14"/>
    </i>
    <i>
      <x v="16"/>
    </i>
    <i>
      <x v="12"/>
    </i>
    <i>
      <x v="9"/>
    </i>
    <i>
      <x v="4"/>
    </i>
    <i>
      <x v="20"/>
    </i>
    <i>
      <x v="23"/>
    </i>
    <i>
      <x v="24"/>
    </i>
    <i>
      <x v="28"/>
    </i>
    <i>
      <x v="15"/>
    </i>
    <i>
      <x v="26"/>
    </i>
    <i>
      <x v="6"/>
    </i>
    <i>
      <x v="30"/>
    </i>
    <i>
      <x v="3"/>
    </i>
    <i>
      <x v="32"/>
    </i>
    <i>
      <x v="33"/>
    </i>
    <i>
      <x v="13"/>
    </i>
    <i>
      <x v="10"/>
    </i>
    <i t="grand">
      <x/>
    </i>
  </rowItems>
  <colItems count="1">
    <i/>
  </colItems>
  <dataFields count="1">
    <dataField name="Sum of Total Sales (€)" fld="8" baseField="0" baseItem="0" numFmtId="1"/>
  </dataFields>
  <chartFormats count="2">
    <chartFormat chart="8" format="1"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6D10223-BE00-4B15-AB06-E2668645B4D0}" name="PivotTable6" cacheId="0" applyNumberFormats="0" applyBorderFormats="0" applyFontFormats="0" applyPatternFormats="0" applyAlignmentFormats="0" applyWidthHeightFormats="1" dataCaption="Values" tag="d1f7f6ad-18b7-4640-9962-5d3ac2f6cfd0" updatedVersion="8" minRefreshableVersion="3" useAutoFormatting="1" itemPrintTitles="1" createdVersion="8" indent="0" outline="1" outlineData="1" multipleFieldFilters="0" chartFormat="5" rowHeaderCaption="Product Name">
  <location ref="G14:I46" firstHeaderRow="0" firstDataRow="1" firstDataCol="1"/>
  <pivotFields count="3">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dataField="1" subtotalTop="0" showAll="0" defaultSubtotal="0"/>
    <pivotField dataField="1" subtotalTop="0" showAll="0" defaultSubtota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Sum of Current Stock" fld="1" baseField="0" baseItem="0"/>
    <dataField name="Sum of Quantity Sold" fld="2" baseField="0" baseItem="0"/>
  </dataField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2">
          <reference field="4294967294" count="1" selected="0">
            <x v="0"/>
          </reference>
          <reference field="0" count="1" selected="0">
            <x v="16"/>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entoryTable]"/>
        <x15:activeTabTopLevelEntity name="[SalesSummary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ADAE064-379E-4D86-8175-2202F4446B82}" sourceName="Category">
  <pivotTables>
    <pivotTable tabId="6" name="SalesSummary"/>
    <pivotTable tabId="6" name="Salesbycategory"/>
  </pivotTables>
  <data>
    <tabular pivotCacheId="1703714853">
      <items count="5">
        <i x="3" s="1"/>
        <i x="2" s="1"/>
        <i x="1"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73EC14E3-5836-4F99-A552-443948E77F04}" sourceName="Supplier">
  <pivotTables>
    <pivotTable tabId="6" name="Supplier&amp;Sales"/>
    <pivotTable tabId="6" name="SalesSummary"/>
  </pivotTables>
  <data>
    <tabular pivotCacheId="1703714853">
      <items count="7">
        <i x="6" s="1"/>
        <i x="0" s="1"/>
        <i x="5" s="1"/>
        <i x="3" s="1"/>
        <i x="4"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A5CAEDAA-C157-4FF0-A7CB-387AD9652FF0}" cache="Slicer_Category" caption="Category" rowHeight="234950"/>
  <slicer name="Supplier" xr10:uid="{9EFE8C2A-5F53-4EAF-AA38-92EAD650216E}" cache="Slicer_Supplier" caption="Suppli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22AAEE-0479-4266-9541-6148244BCDA9}" name="InventoryTable" displayName="InventoryTable" ref="A1:J51" totalsRowShown="0" headerRowDxfId="20" headerRowBorderDxfId="19" tableBorderDxfId="18">
  <autoFilter ref="A1:J51" xr:uid="{CF22AAEE-0479-4266-9541-6148244BCDA9}"/>
  <tableColumns count="10">
    <tableColumn id="1" xr3:uid="{DDBAD5EE-AFB2-49E1-8E52-270EFFE21ABF}" name="Product ID"/>
    <tableColumn id="2" xr3:uid="{8AF13DFD-4B73-4E13-BBE7-7DBB0B189546}" name="Product Name"/>
    <tableColumn id="3" xr3:uid="{F6079E6D-60A4-4FF1-AEC1-543212126211}" name="Category"/>
    <tableColumn id="4" xr3:uid="{A9A4FAB6-9304-45B3-865A-4B23F73296DE}" name="Supplier"/>
    <tableColumn id="5" xr3:uid="{2F563C8D-54C4-4593-8305-8914AC87CA04}" name="Cost Price (€)"/>
    <tableColumn id="6" xr3:uid="{2574CE85-3A0E-4127-B9F9-DD0D2711BB93}" name="Selling Price (€)" dataDxfId="17"/>
    <tableColumn id="7" xr3:uid="{CDAD990A-2FB1-4A96-8C5C-2E9A96F0B798}" name="Stock Quantity"/>
    <tableColumn id="8" xr3:uid="{A3B70CB1-2DEE-4CB6-828E-B511C0B70FCE}" name="Reorder Level"/>
    <tableColumn id="9" xr3:uid="{BEA5A9EE-2962-49B8-AA41-59BE8E83A414}" name="Current Stock" dataDxfId="16">
      <calculatedColumnFormula>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calculatedColumnFormula>
    </tableColumn>
    <tableColumn id="10" xr3:uid="{411B7E48-2BF7-4877-84CA-BB0B44F2E7B8}" name="Supplier ID" dataDxfId="15">
      <calculatedColumnFormula>_xlfn.XLOOKUP(TRIM(D2), SupplierTable!B:B, SupplierTable!A:A, "Not Found")</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83C5CE-A4F6-448C-BF43-910655C9DAA6}" name="TransactionTable" displayName="TransactionTable" ref="A1:G101" totalsRowShown="0" headerRowDxfId="14" headerRowBorderDxfId="13" tableBorderDxfId="12">
  <autoFilter ref="A1:G101" xr:uid="{9B83C5CE-A4F6-448C-BF43-910655C9DAA6}"/>
  <tableColumns count="7">
    <tableColumn id="1" xr3:uid="{9EC9B9AC-8288-4D31-8A7B-82CD5CD85795}" name="Transaction ID"/>
    <tableColumn id="2" xr3:uid="{B4B75CED-89E3-40B9-ADE6-31D4F99F0D4B}" name="Date"/>
    <tableColumn id="3" xr3:uid="{027B90F0-13CC-4502-9F84-BF04BF3A4232}" name="Product ID"/>
    <tableColumn id="4" xr3:uid="{8A2AA4C3-7EE8-438F-9B77-DBB14454C8FA}" name="Product Name"/>
    <tableColumn id="5" xr3:uid="{C680092E-AB87-46F8-9D29-3F105B1C21A2}" name="Transaction Type"/>
    <tableColumn id="6" xr3:uid="{C4ADEC17-238D-4DBD-B8CC-7C16478CCFBE}" name="Quantity"/>
    <tableColumn id="7" xr3:uid="{7D371C8A-6B49-407B-AE08-70CC660AD853}" name="New Stock Level"/>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E94FADA-A78C-4FA3-A5C2-3EF95600DF23}" name="SupplierTable" displayName="SupplierTable" ref="A1:G11" totalsRowShown="0" headerRowDxfId="11" headerRowBorderDxfId="10" tableBorderDxfId="9">
  <autoFilter ref="A1:G11" xr:uid="{0E94FADA-A78C-4FA3-A5C2-3EF95600DF23}"/>
  <tableColumns count="7">
    <tableColumn id="1" xr3:uid="{4A995A6D-DABC-4B68-8226-5D4CCE7A7C6E}" name="Supplier ID"/>
    <tableColumn id="2" xr3:uid="{0C750A77-DFC1-404C-9E53-B2783C372A58}" name="Supplier Name"/>
    <tableColumn id="3" xr3:uid="{534BD569-DEBA-4897-A372-7B089DA4FF82}" name="Contact Person"/>
    <tableColumn id="4" xr3:uid="{4575AD88-605D-4DE0-B525-23C0A04B368E}" name="Email"/>
    <tableColumn id="5" xr3:uid="{E4A91599-2E08-4FFE-97E1-FFEF3796BF71}" name="Phone Number"/>
    <tableColumn id="6" xr3:uid="{C5106EF6-D10D-4725-9A14-9C9EDCBC1C39}" name="Address"/>
    <tableColumn id="7" xr3:uid="{8B95EA79-DF43-4283-9B3D-164349FC4DE6}" name="Total Products Supplied"/>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912744-F057-4BB4-B24F-9AA608E69D20}" name="SalesSummaryTable" displayName="SalesSummaryTable" ref="A1:I101" totalsRowShown="0" headerRowDxfId="8" headerRowBorderDxfId="7" tableBorderDxfId="6">
  <autoFilter ref="A1:I101" xr:uid="{13912744-F057-4BB4-B24F-9AA608E69D20}"/>
  <tableColumns count="9">
    <tableColumn id="1" xr3:uid="{CF159D09-6DCF-4F52-A30F-103878743C83}" name="Transaction Date" dataDxfId="5"/>
    <tableColumn id="7" xr3:uid="{84273C29-9260-438F-BE00-C9D653D5CF4F}" name="Month-Year" dataDxfId="4"/>
    <tableColumn id="2" xr3:uid="{FFA8463A-DEAE-4780-877E-F80A107348DD}" name="Product ID"/>
    <tableColumn id="3" xr3:uid="{E3214E39-5F83-4276-B033-68AD8E87F694}" name="Product Name"/>
    <tableColumn id="8" xr3:uid="{8584CCD9-ED7E-49ED-ADA6-26D36673982F}" name="Category" dataDxfId="3">
      <calculatedColumnFormula>_xlfn.XLOOKUP(SalesSummaryTable[[#This Row],[Product ID]], InventoryTable[Product ID], InventoryTable[Category])</calculatedColumnFormula>
    </tableColumn>
    <tableColumn id="9" xr3:uid="{D8265145-8978-4443-A1FF-0369CCAF037B}" name="Supplier" dataDxfId="2">
      <calculatedColumnFormula>_xlfn.XLOOKUP(SalesSummaryTable[[#This Row],[Product ID]], InventoryTable[Product ID], InventoryTable[Supplier])</calculatedColumnFormula>
    </tableColumn>
    <tableColumn id="4" xr3:uid="{51005912-B794-42DC-A21D-4C3052AA0CE6}" name="Quantity Sold"/>
    <tableColumn id="5" xr3:uid="{6CE50557-A9D2-42E8-83BB-1AB037CAE906}" name="Selling Price (€)" dataDxfId="1">
      <calculatedColumnFormula>_xlfn.XLOOKUP(SalesSummaryTable[[#This Row],[Product ID]], InventoryTable[Product ID], InventoryTable[Selling Price (€)])</calculatedColumnFormula>
    </tableColumn>
    <tableColumn id="6" xr3:uid="{9CAC922E-39C4-48E1-B05E-C533423C7BE1}" name="Total Sales (€)" dataDxfId="0">
      <calculatedColumnFormula>G2*H2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BC75-F0C4-4401-9599-0615FDCEBFD9}">
  <sheetPr codeName="Sheet1"/>
  <dimension ref="J1:AH7"/>
  <sheetViews>
    <sheetView zoomScaleNormal="100" workbookViewId="0">
      <selection activeCell="AI20" sqref="AI20"/>
    </sheetView>
  </sheetViews>
  <sheetFormatPr defaultRowHeight="14.4" x14ac:dyDescent="0.3"/>
  <cols>
    <col min="1" max="30" width="8.88671875" style="9"/>
    <col min="31" max="31" width="12.21875" style="9" customWidth="1"/>
    <col min="32" max="33" width="8.88671875" style="9"/>
    <col min="34" max="34" width="15.88671875" style="9" bestFit="1" customWidth="1"/>
    <col min="35" max="16384" width="8.88671875" style="9"/>
  </cols>
  <sheetData>
    <row r="1" spans="10:34" ht="30" x14ac:dyDescent="0.5">
      <c r="J1" s="13" t="s">
        <v>379</v>
      </c>
      <c r="K1" s="13"/>
      <c r="L1" s="13"/>
      <c r="M1" s="13"/>
      <c r="N1" s="13"/>
      <c r="O1" s="13"/>
      <c r="P1" s="13"/>
      <c r="Q1" s="13"/>
      <c r="R1" s="13"/>
      <c r="S1" s="13"/>
      <c r="T1" s="13"/>
      <c r="U1" s="13"/>
      <c r="V1" s="13"/>
      <c r="W1" s="13"/>
      <c r="X1" s="13"/>
      <c r="Y1" s="13"/>
      <c r="Z1" s="13"/>
      <c r="AA1" s="13"/>
    </row>
    <row r="4" spans="10:34" ht="15.6" x14ac:dyDescent="0.3">
      <c r="AH4" s="12" t="s">
        <v>329</v>
      </c>
    </row>
    <row r="5" spans="10:34" x14ac:dyDescent="0.3">
      <c r="AH5" s="10">
        <f>SUM(SalesSummaryTable[Total Sales (€)])</f>
        <v>280318.71000000002</v>
      </c>
    </row>
    <row r="6" spans="10:34" ht="15.6" x14ac:dyDescent="0.3">
      <c r="AH6" s="12" t="s">
        <v>375</v>
      </c>
    </row>
    <row r="7" spans="10:34" x14ac:dyDescent="0.3">
      <c r="AH7" s="11">
        <f>SUM(SalesSummaryTable[Quantity Sold])</f>
        <v>530</v>
      </c>
    </row>
  </sheetData>
  <mergeCells count="1">
    <mergeCell ref="J1:AA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51"/>
  <sheetViews>
    <sheetView zoomScaleNormal="100" workbookViewId="0">
      <selection activeCell="I3" sqref="I3"/>
    </sheetView>
  </sheetViews>
  <sheetFormatPr defaultRowHeight="14.4" x14ac:dyDescent="0.3"/>
  <cols>
    <col min="1" max="1" width="14.33203125" bestFit="1" customWidth="1"/>
    <col min="2" max="2" width="19.21875" bestFit="1" customWidth="1"/>
    <col min="3" max="3" width="13.44140625" bestFit="1" customWidth="1"/>
    <col min="4" max="4" width="14.6640625" bestFit="1" customWidth="1"/>
    <col min="5" max="5" width="16.5546875" bestFit="1" customWidth="1"/>
    <col min="6" max="6" width="18.33203125" bestFit="1" customWidth="1"/>
    <col min="7" max="7" width="18" bestFit="1" customWidth="1"/>
    <col min="8" max="8" width="16.88671875" bestFit="1" customWidth="1"/>
    <col min="9" max="9" width="17" bestFit="1" customWidth="1"/>
    <col min="10" max="10" width="14.5546875" style="3" bestFit="1" customWidth="1"/>
    <col min="18" max="18" width="13.21875" bestFit="1" customWidth="1"/>
    <col min="19" max="19" width="10.33203125" bestFit="1" customWidth="1"/>
    <col min="20" max="20" width="9.88671875" bestFit="1" customWidth="1"/>
    <col min="21" max="21" width="19.21875" bestFit="1" customWidth="1"/>
    <col min="22" max="22" width="15.44140625" bestFit="1" customWidth="1"/>
    <col min="23" max="23" width="8.33203125" bestFit="1" customWidth="1"/>
    <col min="24" max="24" width="14.77734375" bestFit="1" customWidth="1"/>
  </cols>
  <sheetData>
    <row r="1" spans="1:10" x14ac:dyDescent="0.3">
      <c r="A1" s="1" t="s">
        <v>0</v>
      </c>
      <c r="B1" s="1" t="s">
        <v>1</v>
      </c>
      <c r="C1" s="1" t="s">
        <v>2</v>
      </c>
      <c r="D1" s="1" t="s">
        <v>3</v>
      </c>
      <c r="E1" s="1" t="s">
        <v>4</v>
      </c>
      <c r="F1" s="1" t="s">
        <v>5</v>
      </c>
      <c r="G1" s="1" t="s">
        <v>6</v>
      </c>
      <c r="H1" s="1" t="s">
        <v>7</v>
      </c>
      <c r="I1" s="1" t="s">
        <v>266</v>
      </c>
      <c r="J1" s="1" t="s">
        <v>267</v>
      </c>
    </row>
    <row r="2" spans="1:10" x14ac:dyDescent="0.3">
      <c r="A2" t="s">
        <v>8</v>
      </c>
      <c r="B2" t="s">
        <v>58</v>
      </c>
      <c r="C2" t="s">
        <v>89</v>
      </c>
      <c r="D2" t="s">
        <v>94</v>
      </c>
      <c r="E2">
        <v>268</v>
      </c>
      <c r="F2" s="2">
        <v>291.12</v>
      </c>
      <c r="G2">
        <v>156</v>
      </c>
      <c r="H2">
        <v>23</v>
      </c>
      <c r="I2"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156</v>
      </c>
      <c r="J2" s="3" t="str">
        <f>_xlfn.XLOOKUP(TRIM(D2), SupplierTable!B:B, SupplierTable!A:A, "Not Found")</f>
        <v>S004</v>
      </c>
    </row>
    <row r="3" spans="1:10" x14ac:dyDescent="0.3">
      <c r="A3" t="s">
        <v>9</v>
      </c>
      <c r="B3" t="s">
        <v>59</v>
      </c>
      <c r="C3" t="s">
        <v>90</v>
      </c>
      <c r="D3" t="s">
        <v>95</v>
      </c>
      <c r="E3">
        <v>401</v>
      </c>
      <c r="F3" s="2">
        <v>508.96</v>
      </c>
      <c r="G3">
        <v>9</v>
      </c>
      <c r="H3">
        <v>46</v>
      </c>
      <c r="I3" s="14">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0</v>
      </c>
      <c r="J3" s="3" t="str">
        <f>_xlfn.XLOOKUP(TRIM(D3), SupplierTable!B:B, SupplierTable!A:A, "Not Found")</f>
        <v>S007</v>
      </c>
    </row>
    <row r="4" spans="1:10" x14ac:dyDescent="0.3">
      <c r="A4" t="s">
        <v>10</v>
      </c>
      <c r="B4" t="s">
        <v>60</v>
      </c>
      <c r="C4" t="s">
        <v>89</v>
      </c>
      <c r="D4" t="s">
        <v>96</v>
      </c>
      <c r="E4">
        <v>619</v>
      </c>
      <c r="F4" s="2">
        <v>693.89</v>
      </c>
      <c r="G4">
        <v>171</v>
      </c>
      <c r="H4">
        <v>23</v>
      </c>
      <c r="I4"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134</v>
      </c>
      <c r="J4" s="3" t="str">
        <f>_xlfn.XLOOKUP(TRIM(D4), SupplierTable!B:B, SupplierTable!A:A, "Not Found")</f>
        <v>S001</v>
      </c>
    </row>
    <row r="5" spans="1:10" x14ac:dyDescent="0.3">
      <c r="A5" t="s">
        <v>11</v>
      </c>
      <c r="B5" t="s">
        <v>61</v>
      </c>
      <c r="C5" t="s">
        <v>90</v>
      </c>
      <c r="D5" t="s">
        <v>97</v>
      </c>
      <c r="E5">
        <v>180</v>
      </c>
      <c r="F5" s="2">
        <v>269.74</v>
      </c>
      <c r="G5">
        <v>97</v>
      </c>
      <c r="H5">
        <v>12</v>
      </c>
      <c r="I5"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97</v>
      </c>
      <c r="J5" s="3" t="str">
        <f>_xlfn.XLOOKUP(TRIM(D5), SupplierTable!B:B, SupplierTable!A:A, "Not Found")</f>
        <v>S003</v>
      </c>
    </row>
    <row r="6" spans="1:10" x14ac:dyDescent="0.3">
      <c r="A6" t="s">
        <v>12</v>
      </c>
      <c r="B6" t="s">
        <v>62</v>
      </c>
      <c r="C6" t="s">
        <v>91</v>
      </c>
      <c r="D6" t="s">
        <v>95</v>
      </c>
      <c r="E6">
        <v>350</v>
      </c>
      <c r="F6" s="2">
        <v>442.21</v>
      </c>
      <c r="G6">
        <v>32</v>
      </c>
      <c r="H6">
        <v>5</v>
      </c>
      <c r="I6"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35</v>
      </c>
      <c r="J6" s="3" t="str">
        <f>_xlfn.XLOOKUP(TRIM(D6), SupplierTable!B:B, SupplierTable!A:A, "Not Found")</f>
        <v>S007</v>
      </c>
    </row>
    <row r="7" spans="1:10" x14ac:dyDescent="0.3">
      <c r="A7" t="s">
        <v>13</v>
      </c>
      <c r="B7" t="s">
        <v>63</v>
      </c>
      <c r="C7" t="s">
        <v>89</v>
      </c>
      <c r="D7" t="s">
        <v>95</v>
      </c>
      <c r="E7">
        <v>120</v>
      </c>
      <c r="F7" s="2">
        <v>163.69</v>
      </c>
      <c r="G7">
        <v>127</v>
      </c>
      <c r="H7">
        <v>33</v>
      </c>
      <c r="I7"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114</v>
      </c>
      <c r="J7" s="3" t="str">
        <f>_xlfn.XLOOKUP(TRIM(D7), SupplierTable!B:B, SupplierTable!A:A, "Not Found")</f>
        <v>S007</v>
      </c>
    </row>
    <row r="8" spans="1:10" x14ac:dyDescent="0.3">
      <c r="A8" t="s">
        <v>14</v>
      </c>
      <c r="B8" t="s">
        <v>64</v>
      </c>
      <c r="C8" t="s">
        <v>89</v>
      </c>
      <c r="D8" t="s">
        <v>98</v>
      </c>
      <c r="E8">
        <v>784</v>
      </c>
      <c r="F8" s="2">
        <v>1075.8499999999999</v>
      </c>
      <c r="G8">
        <v>142</v>
      </c>
      <c r="H8">
        <v>11</v>
      </c>
      <c r="I8"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162</v>
      </c>
      <c r="J8" s="3" t="str">
        <f>_xlfn.XLOOKUP(TRIM(D8), SupplierTable!B:B, SupplierTable!A:A, "Not Found")</f>
        <v>S005</v>
      </c>
    </row>
    <row r="9" spans="1:10" x14ac:dyDescent="0.3">
      <c r="A9" t="s">
        <v>15</v>
      </c>
      <c r="B9" t="s">
        <v>64</v>
      </c>
      <c r="C9" t="s">
        <v>92</v>
      </c>
      <c r="D9" t="s">
        <v>96</v>
      </c>
      <c r="E9">
        <v>282</v>
      </c>
      <c r="F9" s="2">
        <v>307.95</v>
      </c>
      <c r="G9">
        <v>193</v>
      </c>
      <c r="H9">
        <v>27</v>
      </c>
      <c r="I9"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193</v>
      </c>
      <c r="J9" s="3" t="str">
        <f>_xlfn.XLOOKUP(TRIM(D9), SupplierTable!B:B, SupplierTable!A:A, "Not Found")</f>
        <v>S001</v>
      </c>
    </row>
    <row r="10" spans="1:10" x14ac:dyDescent="0.3">
      <c r="A10" t="s">
        <v>16</v>
      </c>
      <c r="B10" t="s">
        <v>65</v>
      </c>
      <c r="C10" t="s">
        <v>90</v>
      </c>
      <c r="D10" t="s">
        <v>98</v>
      </c>
      <c r="E10">
        <v>170</v>
      </c>
      <c r="F10" s="2">
        <v>245.74</v>
      </c>
      <c r="G10">
        <v>183</v>
      </c>
      <c r="H10">
        <v>24</v>
      </c>
      <c r="I10"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179</v>
      </c>
      <c r="J10" s="3" t="str">
        <f>_xlfn.XLOOKUP(TRIM(D10), SupplierTable!B:B, SupplierTable!A:A, "Not Found")</f>
        <v>S005</v>
      </c>
    </row>
    <row r="11" spans="1:10" x14ac:dyDescent="0.3">
      <c r="A11" t="s">
        <v>17</v>
      </c>
      <c r="B11" t="s">
        <v>66</v>
      </c>
      <c r="C11" t="s">
        <v>93</v>
      </c>
      <c r="D11" t="s">
        <v>99</v>
      </c>
      <c r="E11">
        <v>110</v>
      </c>
      <c r="F11" s="2">
        <v>132.94</v>
      </c>
      <c r="G11">
        <v>64</v>
      </c>
      <c r="H11">
        <v>16</v>
      </c>
      <c r="I11"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69</v>
      </c>
      <c r="J11" s="3" t="str">
        <f>_xlfn.XLOOKUP(TRIM(D11), SupplierTable!B:B, SupplierTable!A:A, "Not Found")</f>
        <v>S006</v>
      </c>
    </row>
    <row r="12" spans="1:10" x14ac:dyDescent="0.3">
      <c r="A12" t="s">
        <v>18</v>
      </c>
      <c r="B12" t="s">
        <v>67</v>
      </c>
      <c r="C12" t="s">
        <v>89</v>
      </c>
      <c r="D12" t="s">
        <v>99</v>
      </c>
      <c r="E12">
        <v>132</v>
      </c>
      <c r="F12" s="2">
        <v>196.2</v>
      </c>
      <c r="G12">
        <v>36</v>
      </c>
      <c r="H12">
        <v>29</v>
      </c>
      <c r="I12"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57</v>
      </c>
      <c r="J12" s="3" t="str">
        <f>_xlfn.XLOOKUP(TRIM(D12), SupplierTable!B:B, SupplierTable!A:A, "Not Found")</f>
        <v>S006</v>
      </c>
    </row>
    <row r="13" spans="1:10" x14ac:dyDescent="0.3">
      <c r="A13" t="s">
        <v>19</v>
      </c>
      <c r="B13" t="s">
        <v>68</v>
      </c>
      <c r="C13" t="s">
        <v>93</v>
      </c>
      <c r="D13" t="s">
        <v>99</v>
      </c>
      <c r="E13">
        <v>204</v>
      </c>
      <c r="F13" s="2">
        <v>269.32</v>
      </c>
      <c r="G13">
        <v>116</v>
      </c>
      <c r="H13">
        <v>37</v>
      </c>
      <c r="I13"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116</v>
      </c>
      <c r="J13" s="3" t="str">
        <f>_xlfn.XLOOKUP(TRIM(D13), SupplierTable!B:B, SupplierTable!A:A, "Not Found")</f>
        <v>S006</v>
      </c>
    </row>
    <row r="14" spans="1:10" x14ac:dyDescent="0.3">
      <c r="A14" t="s">
        <v>20</v>
      </c>
      <c r="B14" t="s">
        <v>69</v>
      </c>
      <c r="C14" t="s">
        <v>93</v>
      </c>
      <c r="D14" t="s">
        <v>96</v>
      </c>
      <c r="E14">
        <v>808</v>
      </c>
      <c r="F14" s="2">
        <v>910.18</v>
      </c>
      <c r="G14">
        <v>171</v>
      </c>
      <c r="H14">
        <v>49</v>
      </c>
      <c r="I14"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176</v>
      </c>
      <c r="J14" s="3" t="str">
        <f>_xlfn.XLOOKUP(TRIM(D14), SupplierTable!B:B, SupplierTable!A:A, "Not Found")</f>
        <v>S001</v>
      </c>
    </row>
    <row r="15" spans="1:10" x14ac:dyDescent="0.3">
      <c r="A15" t="s">
        <v>21</v>
      </c>
      <c r="B15" t="s">
        <v>70</v>
      </c>
      <c r="C15" t="s">
        <v>93</v>
      </c>
      <c r="D15" t="s">
        <v>99</v>
      </c>
      <c r="E15">
        <v>350</v>
      </c>
      <c r="F15" s="2">
        <v>503.57</v>
      </c>
      <c r="G15">
        <v>131</v>
      </c>
      <c r="H15">
        <v>47</v>
      </c>
      <c r="I15"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129</v>
      </c>
      <c r="J15" s="3" t="str">
        <f>_xlfn.XLOOKUP(TRIM(D15), SupplierTable!B:B, SupplierTable!A:A, "Not Found")</f>
        <v>S006</v>
      </c>
    </row>
    <row r="16" spans="1:10" x14ac:dyDescent="0.3">
      <c r="A16" t="s">
        <v>22</v>
      </c>
      <c r="B16" t="s">
        <v>71</v>
      </c>
      <c r="C16" t="s">
        <v>89</v>
      </c>
      <c r="D16" t="s">
        <v>100</v>
      </c>
      <c r="E16">
        <v>190</v>
      </c>
      <c r="F16" s="2">
        <v>260.14</v>
      </c>
      <c r="G16">
        <v>88</v>
      </c>
      <c r="H16">
        <v>50</v>
      </c>
      <c r="I16"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68</v>
      </c>
      <c r="J16" s="3" t="str">
        <f>_xlfn.XLOOKUP(TRIM(D16), SupplierTable!B:B, SupplierTable!A:A, "Not Found")</f>
        <v>S002</v>
      </c>
    </row>
    <row r="17" spans="1:10" x14ac:dyDescent="0.3">
      <c r="A17" t="s">
        <v>23</v>
      </c>
      <c r="B17" t="s">
        <v>71</v>
      </c>
      <c r="C17" t="s">
        <v>90</v>
      </c>
      <c r="D17" t="s">
        <v>98</v>
      </c>
      <c r="E17">
        <v>250</v>
      </c>
      <c r="F17" s="2">
        <v>278.7</v>
      </c>
      <c r="G17">
        <v>174</v>
      </c>
      <c r="H17">
        <v>5</v>
      </c>
      <c r="I17"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174</v>
      </c>
      <c r="J17" s="3" t="str">
        <f>_xlfn.XLOOKUP(TRIM(D17), SupplierTable!B:B, SupplierTable!A:A, "Not Found")</f>
        <v>S005</v>
      </c>
    </row>
    <row r="18" spans="1:10" x14ac:dyDescent="0.3">
      <c r="A18" t="s">
        <v>24</v>
      </c>
      <c r="B18" t="s">
        <v>72</v>
      </c>
      <c r="C18" t="s">
        <v>92</v>
      </c>
      <c r="D18" t="s">
        <v>95</v>
      </c>
      <c r="E18">
        <v>290</v>
      </c>
      <c r="F18" s="2">
        <v>343.35</v>
      </c>
      <c r="G18">
        <v>123</v>
      </c>
      <c r="H18">
        <v>45</v>
      </c>
      <c r="I18"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150</v>
      </c>
      <c r="J18" s="3" t="str">
        <f>_xlfn.XLOOKUP(TRIM(D18), SupplierTable!B:B, SupplierTable!A:A, "Not Found")</f>
        <v>S007</v>
      </c>
    </row>
    <row r="19" spans="1:10" x14ac:dyDescent="0.3">
      <c r="A19" t="s">
        <v>25</v>
      </c>
      <c r="B19" t="s">
        <v>67</v>
      </c>
      <c r="C19" t="s">
        <v>91</v>
      </c>
      <c r="D19" t="s">
        <v>95</v>
      </c>
      <c r="E19">
        <v>300</v>
      </c>
      <c r="F19" s="2">
        <v>336.04</v>
      </c>
      <c r="G19">
        <v>141</v>
      </c>
      <c r="H19">
        <v>20</v>
      </c>
      <c r="I19"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131</v>
      </c>
      <c r="J19" s="3" t="str">
        <f>_xlfn.XLOOKUP(TRIM(D19), SupplierTable!B:B, SupplierTable!A:A, "Not Found")</f>
        <v>S007</v>
      </c>
    </row>
    <row r="20" spans="1:10" x14ac:dyDescent="0.3">
      <c r="A20" t="s">
        <v>26</v>
      </c>
      <c r="B20" t="s">
        <v>68</v>
      </c>
      <c r="C20" t="s">
        <v>90</v>
      </c>
      <c r="D20" t="s">
        <v>96</v>
      </c>
      <c r="E20">
        <v>140</v>
      </c>
      <c r="F20" s="2">
        <v>170.61</v>
      </c>
      <c r="G20">
        <v>25</v>
      </c>
      <c r="H20">
        <v>25</v>
      </c>
      <c r="I20" s="14">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17</v>
      </c>
      <c r="J20" s="3" t="str">
        <f>_xlfn.XLOOKUP(TRIM(D20), SupplierTable!B:B, SupplierTable!A:A, "Not Found")</f>
        <v>S001</v>
      </c>
    </row>
    <row r="21" spans="1:10" x14ac:dyDescent="0.3">
      <c r="A21" t="s">
        <v>27</v>
      </c>
      <c r="B21" t="s">
        <v>71</v>
      </c>
      <c r="C21" t="s">
        <v>93</v>
      </c>
      <c r="D21" t="s">
        <v>100</v>
      </c>
      <c r="E21">
        <v>176</v>
      </c>
      <c r="F21" s="2">
        <v>224.56</v>
      </c>
      <c r="G21">
        <v>127</v>
      </c>
      <c r="H21">
        <v>19</v>
      </c>
      <c r="I21"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107</v>
      </c>
      <c r="J21" s="3" t="str">
        <f>_xlfn.XLOOKUP(TRIM(D21), SupplierTable!B:B, SupplierTable!A:A, "Not Found")</f>
        <v>S002</v>
      </c>
    </row>
    <row r="22" spans="1:10" x14ac:dyDescent="0.3">
      <c r="A22" t="s">
        <v>28</v>
      </c>
      <c r="B22" t="s">
        <v>63</v>
      </c>
      <c r="C22" t="s">
        <v>90</v>
      </c>
      <c r="D22" t="s">
        <v>98</v>
      </c>
      <c r="E22">
        <v>185</v>
      </c>
      <c r="F22" s="2">
        <v>253.15</v>
      </c>
      <c r="G22">
        <v>177</v>
      </c>
      <c r="H22">
        <v>22</v>
      </c>
      <c r="I22"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205</v>
      </c>
      <c r="J22" s="3" t="str">
        <f>_xlfn.XLOOKUP(TRIM(D22), SupplierTable!B:B, SupplierTable!A:A, "Not Found")</f>
        <v>S005</v>
      </c>
    </row>
    <row r="23" spans="1:10" x14ac:dyDescent="0.3">
      <c r="A23" t="s">
        <v>29</v>
      </c>
      <c r="B23" t="s">
        <v>60</v>
      </c>
      <c r="C23" t="s">
        <v>92</v>
      </c>
      <c r="D23" t="s">
        <v>96</v>
      </c>
      <c r="E23">
        <v>450</v>
      </c>
      <c r="F23" s="2">
        <v>466.36</v>
      </c>
      <c r="G23">
        <v>41</v>
      </c>
      <c r="H23">
        <v>45</v>
      </c>
      <c r="I23" s="14">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27</v>
      </c>
      <c r="J23" s="3" t="str">
        <f>_xlfn.XLOOKUP(TRIM(D23), SupplierTable!B:B, SupplierTable!A:A, "Not Found")</f>
        <v>S001</v>
      </c>
    </row>
    <row r="24" spans="1:10" x14ac:dyDescent="0.3">
      <c r="A24" t="s">
        <v>30</v>
      </c>
      <c r="B24" t="s">
        <v>73</v>
      </c>
      <c r="C24" t="s">
        <v>93</v>
      </c>
      <c r="D24" t="s">
        <v>95</v>
      </c>
      <c r="E24">
        <v>647</v>
      </c>
      <c r="F24" s="2">
        <v>724.62</v>
      </c>
      <c r="G24">
        <v>138</v>
      </c>
      <c r="H24">
        <v>32</v>
      </c>
      <c r="I24"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178</v>
      </c>
      <c r="J24" s="3" t="str">
        <f>_xlfn.XLOOKUP(TRIM(D24), SupplierTable!B:B, SupplierTable!A:A, "Not Found")</f>
        <v>S007</v>
      </c>
    </row>
    <row r="25" spans="1:10" x14ac:dyDescent="0.3">
      <c r="A25" t="s">
        <v>31</v>
      </c>
      <c r="B25" t="s">
        <v>74</v>
      </c>
      <c r="C25" t="s">
        <v>89</v>
      </c>
      <c r="D25" t="s">
        <v>98</v>
      </c>
      <c r="E25">
        <v>613</v>
      </c>
      <c r="F25" s="2">
        <v>917.35</v>
      </c>
      <c r="G25">
        <v>32</v>
      </c>
      <c r="H25">
        <v>7</v>
      </c>
      <c r="I25" s="14">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2</v>
      </c>
      <c r="J25" s="3" t="str">
        <f>_xlfn.XLOOKUP(TRIM(D25), SupplierTable!B:B, SupplierTable!A:A, "Not Found")</f>
        <v>S005</v>
      </c>
    </row>
    <row r="26" spans="1:10" x14ac:dyDescent="0.3">
      <c r="A26" t="s">
        <v>32</v>
      </c>
      <c r="B26" t="s">
        <v>75</v>
      </c>
      <c r="C26" t="s">
        <v>93</v>
      </c>
      <c r="D26" t="s">
        <v>94</v>
      </c>
      <c r="E26">
        <v>250</v>
      </c>
      <c r="F26" s="2">
        <v>363.47</v>
      </c>
      <c r="G26">
        <v>110</v>
      </c>
      <c r="H26">
        <v>7</v>
      </c>
      <c r="I26"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93</v>
      </c>
      <c r="J26" s="3" t="str">
        <f>_xlfn.XLOOKUP(TRIM(D26), SupplierTable!B:B, SupplierTable!A:A, "Not Found")</f>
        <v>S004</v>
      </c>
    </row>
    <row r="27" spans="1:10" x14ac:dyDescent="0.3">
      <c r="A27" t="s">
        <v>33</v>
      </c>
      <c r="B27" t="s">
        <v>73</v>
      </c>
      <c r="C27" t="s">
        <v>91</v>
      </c>
      <c r="D27" t="s">
        <v>99</v>
      </c>
      <c r="E27">
        <v>592</v>
      </c>
      <c r="F27" s="2">
        <v>628.86</v>
      </c>
      <c r="G27">
        <v>169</v>
      </c>
      <c r="H27">
        <v>39</v>
      </c>
      <c r="I27"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169</v>
      </c>
      <c r="J27" s="3" t="str">
        <f>_xlfn.XLOOKUP(TRIM(D27), SupplierTable!B:B, SupplierTable!A:A, "Not Found")</f>
        <v>S006</v>
      </c>
    </row>
    <row r="28" spans="1:10" x14ac:dyDescent="0.3">
      <c r="A28" t="s">
        <v>34</v>
      </c>
      <c r="B28" t="s">
        <v>76</v>
      </c>
      <c r="C28" t="s">
        <v>92</v>
      </c>
      <c r="D28" t="s">
        <v>100</v>
      </c>
      <c r="E28">
        <v>351</v>
      </c>
      <c r="F28" s="2">
        <v>395.15</v>
      </c>
      <c r="G28">
        <v>160</v>
      </c>
      <c r="H28">
        <v>40</v>
      </c>
      <c r="I28"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194</v>
      </c>
      <c r="J28" s="3" t="str">
        <f>_xlfn.XLOOKUP(TRIM(D28), SupplierTable!B:B, SupplierTable!A:A, "Not Found")</f>
        <v>S002</v>
      </c>
    </row>
    <row r="29" spans="1:10" x14ac:dyDescent="0.3">
      <c r="A29" t="s">
        <v>35</v>
      </c>
      <c r="B29" t="s">
        <v>77</v>
      </c>
      <c r="C29" t="s">
        <v>92</v>
      </c>
      <c r="D29" t="s">
        <v>100</v>
      </c>
      <c r="E29">
        <v>901</v>
      </c>
      <c r="F29" s="2">
        <v>1346.62</v>
      </c>
      <c r="G29">
        <v>16</v>
      </c>
      <c r="H29">
        <v>16</v>
      </c>
      <c r="I29" s="14">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12</v>
      </c>
      <c r="J29" s="3" t="str">
        <f>_xlfn.XLOOKUP(TRIM(D29), SupplierTable!B:B, SupplierTable!A:A, "Not Found")</f>
        <v>S002</v>
      </c>
    </row>
    <row r="30" spans="1:10" x14ac:dyDescent="0.3">
      <c r="A30" t="s">
        <v>36</v>
      </c>
      <c r="B30" t="s">
        <v>68</v>
      </c>
      <c r="C30" t="s">
        <v>89</v>
      </c>
      <c r="D30" t="s">
        <v>98</v>
      </c>
      <c r="E30">
        <v>257</v>
      </c>
      <c r="F30" s="2">
        <v>372.11</v>
      </c>
      <c r="G30">
        <v>187</v>
      </c>
      <c r="H30">
        <v>11</v>
      </c>
      <c r="I30"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192</v>
      </c>
      <c r="J30" s="3" t="str">
        <f>_xlfn.XLOOKUP(TRIM(D30), SupplierTable!B:B, SupplierTable!A:A, "Not Found")</f>
        <v>S005</v>
      </c>
    </row>
    <row r="31" spans="1:10" x14ac:dyDescent="0.3">
      <c r="A31" t="s">
        <v>37</v>
      </c>
      <c r="B31" t="s">
        <v>60</v>
      </c>
      <c r="C31" t="s">
        <v>91</v>
      </c>
      <c r="D31" t="s">
        <v>100</v>
      </c>
      <c r="E31">
        <v>609</v>
      </c>
      <c r="F31" s="2">
        <v>677.73</v>
      </c>
      <c r="G31">
        <v>46</v>
      </c>
      <c r="H31">
        <v>39</v>
      </c>
      <c r="I31"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59</v>
      </c>
      <c r="J31" s="3" t="str">
        <f>_xlfn.XLOOKUP(TRIM(D31), SupplierTable!B:B, SupplierTable!A:A, "Not Found")</f>
        <v>S002</v>
      </c>
    </row>
    <row r="32" spans="1:10" x14ac:dyDescent="0.3">
      <c r="A32" t="s">
        <v>38</v>
      </c>
      <c r="B32" t="s">
        <v>77</v>
      </c>
      <c r="C32" t="s">
        <v>91</v>
      </c>
      <c r="D32" t="s">
        <v>96</v>
      </c>
      <c r="E32">
        <v>223</v>
      </c>
      <c r="F32" s="2">
        <v>321.79000000000002</v>
      </c>
      <c r="G32">
        <v>41</v>
      </c>
      <c r="H32">
        <v>31</v>
      </c>
      <c r="I32"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41</v>
      </c>
      <c r="J32" s="3" t="str">
        <f>_xlfn.XLOOKUP(TRIM(D32), SupplierTable!B:B, SupplierTable!A:A, "Not Found")</f>
        <v>S001</v>
      </c>
    </row>
    <row r="33" spans="1:10" x14ac:dyDescent="0.3">
      <c r="A33" t="s">
        <v>39</v>
      </c>
      <c r="B33" t="s">
        <v>78</v>
      </c>
      <c r="C33" t="s">
        <v>89</v>
      </c>
      <c r="D33" t="s">
        <v>100</v>
      </c>
      <c r="E33">
        <v>64</v>
      </c>
      <c r="F33" s="2">
        <v>68.59</v>
      </c>
      <c r="G33">
        <v>186</v>
      </c>
      <c r="H33">
        <v>5</v>
      </c>
      <c r="I33"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204</v>
      </c>
      <c r="J33" s="3" t="str">
        <f>_xlfn.XLOOKUP(TRIM(D33), SupplierTable!B:B, SupplierTable!A:A, "Not Found")</f>
        <v>S002</v>
      </c>
    </row>
    <row r="34" spans="1:10" x14ac:dyDescent="0.3">
      <c r="A34" t="s">
        <v>40</v>
      </c>
      <c r="B34" t="s">
        <v>79</v>
      </c>
      <c r="C34" t="s">
        <v>89</v>
      </c>
      <c r="D34" t="s">
        <v>100</v>
      </c>
      <c r="E34">
        <v>670</v>
      </c>
      <c r="F34" s="2">
        <v>749.76</v>
      </c>
      <c r="G34">
        <v>74</v>
      </c>
      <c r="H34">
        <v>24</v>
      </c>
      <c r="I34"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56</v>
      </c>
      <c r="J34" s="3" t="str">
        <f>_xlfn.XLOOKUP(TRIM(D34), SupplierTable!B:B, SupplierTable!A:A, "Not Found")</f>
        <v>S002</v>
      </c>
    </row>
    <row r="35" spans="1:10" x14ac:dyDescent="0.3">
      <c r="A35" t="s">
        <v>41</v>
      </c>
      <c r="B35" t="s">
        <v>80</v>
      </c>
      <c r="C35" t="s">
        <v>92</v>
      </c>
      <c r="D35" t="s">
        <v>100</v>
      </c>
      <c r="E35">
        <v>283</v>
      </c>
      <c r="F35" s="2">
        <v>302.31</v>
      </c>
      <c r="G35">
        <v>152</v>
      </c>
      <c r="H35">
        <v>21</v>
      </c>
      <c r="I35"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135</v>
      </c>
      <c r="J35" s="3" t="str">
        <f>_xlfn.XLOOKUP(TRIM(D35), SupplierTable!B:B, SupplierTable!A:A, "Not Found")</f>
        <v>S002</v>
      </c>
    </row>
    <row r="36" spans="1:10" x14ac:dyDescent="0.3">
      <c r="A36" t="s">
        <v>42</v>
      </c>
      <c r="B36" t="s">
        <v>81</v>
      </c>
      <c r="C36" t="s">
        <v>92</v>
      </c>
      <c r="D36" t="s">
        <v>98</v>
      </c>
      <c r="E36">
        <v>286</v>
      </c>
      <c r="F36" s="2">
        <v>294.07</v>
      </c>
      <c r="G36">
        <v>68</v>
      </c>
      <c r="H36">
        <v>16</v>
      </c>
      <c r="I36"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84</v>
      </c>
      <c r="J36" s="3" t="str">
        <f>_xlfn.XLOOKUP(TRIM(D36), SupplierTable!B:B, SupplierTable!A:A, "Not Found")</f>
        <v>S005</v>
      </c>
    </row>
    <row r="37" spans="1:10" x14ac:dyDescent="0.3">
      <c r="A37" t="s">
        <v>43</v>
      </c>
      <c r="B37" t="s">
        <v>82</v>
      </c>
      <c r="C37" t="s">
        <v>92</v>
      </c>
      <c r="D37" t="s">
        <v>100</v>
      </c>
      <c r="E37">
        <v>964</v>
      </c>
      <c r="F37" s="2">
        <v>1340.61</v>
      </c>
      <c r="G37">
        <v>65</v>
      </c>
      <c r="H37">
        <v>13</v>
      </c>
      <c r="I37"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91</v>
      </c>
      <c r="J37" s="3" t="str">
        <f>_xlfn.XLOOKUP(TRIM(D37), SupplierTable!B:B, SupplierTable!A:A, "Not Found")</f>
        <v>S002</v>
      </c>
    </row>
    <row r="38" spans="1:10" x14ac:dyDescent="0.3">
      <c r="A38" t="s">
        <v>44</v>
      </c>
      <c r="B38" t="s">
        <v>83</v>
      </c>
      <c r="C38" t="s">
        <v>92</v>
      </c>
      <c r="D38" t="s">
        <v>100</v>
      </c>
      <c r="E38">
        <v>744</v>
      </c>
      <c r="F38" s="2">
        <v>982.88</v>
      </c>
      <c r="G38">
        <v>39</v>
      </c>
      <c r="H38">
        <v>50</v>
      </c>
      <c r="I38"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59</v>
      </c>
      <c r="J38" s="3" t="str">
        <f>_xlfn.XLOOKUP(TRIM(D38), SupplierTable!B:B, SupplierTable!A:A, "Not Found")</f>
        <v>S002</v>
      </c>
    </row>
    <row r="39" spans="1:10" x14ac:dyDescent="0.3">
      <c r="A39" t="s">
        <v>45</v>
      </c>
      <c r="B39" t="s">
        <v>84</v>
      </c>
      <c r="C39" t="s">
        <v>91</v>
      </c>
      <c r="D39" t="s">
        <v>99</v>
      </c>
      <c r="E39">
        <v>280</v>
      </c>
      <c r="F39" s="2">
        <v>353.79</v>
      </c>
      <c r="G39">
        <v>42</v>
      </c>
      <c r="H39">
        <v>42</v>
      </c>
      <c r="I39"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55</v>
      </c>
      <c r="J39" s="3" t="str">
        <f>_xlfn.XLOOKUP(TRIM(D39), SupplierTable!B:B, SupplierTable!A:A, "Not Found")</f>
        <v>S006</v>
      </c>
    </row>
    <row r="40" spans="1:10" x14ac:dyDescent="0.3">
      <c r="A40" t="s">
        <v>46</v>
      </c>
      <c r="B40" t="s">
        <v>73</v>
      </c>
      <c r="C40" t="s">
        <v>89</v>
      </c>
      <c r="D40" t="s">
        <v>100</v>
      </c>
      <c r="E40">
        <v>306</v>
      </c>
      <c r="F40" s="2">
        <v>364.76</v>
      </c>
      <c r="G40">
        <v>138</v>
      </c>
      <c r="H40">
        <v>21</v>
      </c>
      <c r="I40"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140</v>
      </c>
      <c r="J40" s="3" t="str">
        <f>_xlfn.XLOOKUP(TRIM(D40), SupplierTable!B:B, SupplierTable!A:A, "Not Found")</f>
        <v>S002</v>
      </c>
    </row>
    <row r="41" spans="1:10" x14ac:dyDescent="0.3">
      <c r="A41" t="s">
        <v>47</v>
      </c>
      <c r="B41" t="s">
        <v>85</v>
      </c>
      <c r="C41" t="s">
        <v>90</v>
      </c>
      <c r="D41" t="s">
        <v>100</v>
      </c>
      <c r="E41">
        <v>682</v>
      </c>
      <c r="F41" s="2">
        <v>767.51</v>
      </c>
      <c r="G41">
        <v>119</v>
      </c>
      <c r="H41">
        <v>40</v>
      </c>
      <c r="I41"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119</v>
      </c>
      <c r="J41" s="3" t="str">
        <f>_xlfn.XLOOKUP(TRIM(D41), SupplierTable!B:B, SupplierTable!A:A, "Not Found")</f>
        <v>S002</v>
      </c>
    </row>
    <row r="42" spans="1:10" x14ac:dyDescent="0.3">
      <c r="A42" t="s">
        <v>48</v>
      </c>
      <c r="B42" t="s">
        <v>77</v>
      </c>
      <c r="C42" t="s">
        <v>92</v>
      </c>
      <c r="D42" t="s">
        <v>99</v>
      </c>
      <c r="E42">
        <v>87</v>
      </c>
      <c r="F42" s="2">
        <v>114.65</v>
      </c>
      <c r="G42">
        <v>48</v>
      </c>
      <c r="H42">
        <v>28</v>
      </c>
      <c r="I42"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46</v>
      </c>
      <c r="J42" s="3" t="str">
        <f>_xlfn.XLOOKUP(TRIM(D42), SupplierTable!B:B, SupplierTable!A:A, "Not Found")</f>
        <v>S006</v>
      </c>
    </row>
    <row r="43" spans="1:10" x14ac:dyDescent="0.3">
      <c r="A43" t="s">
        <v>49</v>
      </c>
      <c r="B43" t="s">
        <v>86</v>
      </c>
      <c r="C43" t="s">
        <v>91</v>
      </c>
      <c r="D43" t="s">
        <v>98</v>
      </c>
      <c r="E43">
        <v>803</v>
      </c>
      <c r="F43" s="2">
        <v>926.57</v>
      </c>
      <c r="G43">
        <v>95</v>
      </c>
      <c r="H43">
        <v>32</v>
      </c>
      <c r="I43"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79</v>
      </c>
      <c r="J43" s="3" t="str">
        <f>_xlfn.XLOOKUP(TRIM(D43), SupplierTable!B:B, SupplierTable!A:A, "Not Found")</f>
        <v>S005</v>
      </c>
    </row>
    <row r="44" spans="1:10" x14ac:dyDescent="0.3">
      <c r="A44" t="s">
        <v>50</v>
      </c>
      <c r="B44" t="s">
        <v>87</v>
      </c>
      <c r="C44" t="s">
        <v>92</v>
      </c>
      <c r="D44" t="s">
        <v>94</v>
      </c>
      <c r="E44">
        <v>366</v>
      </c>
      <c r="F44" s="2">
        <v>394.87</v>
      </c>
      <c r="G44">
        <v>189</v>
      </c>
      <c r="H44">
        <v>29</v>
      </c>
      <c r="I44"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245</v>
      </c>
      <c r="J44" s="3" t="str">
        <f>_xlfn.XLOOKUP(TRIM(D44), SupplierTable!B:B, SupplierTable!A:A, "Not Found")</f>
        <v>S004</v>
      </c>
    </row>
    <row r="45" spans="1:10" x14ac:dyDescent="0.3">
      <c r="A45" t="s">
        <v>51</v>
      </c>
      <c r="B45" t="s">
        <v>74</v>
      </c>
      <c r="C45" t="s">
        <v>91</v>
      </c>
      <c r="D45" t="s">
        <v>96</v>
      </c>
      <c r="E45">
        <v>250</v>
      </c>
      <c r="F45" s="2">
        <v>316.54000000000002</v>
      </c>
      <c r="G45">
        <v>33</v>
      </c>
      <c r="H45">
        <v>29</v>
      </c>
      <c r="I45"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81</v>
      </c>
      <c r="J45" s="3" t="str">
        <f>_xlfn.XLOOKUP(TRIM(D45), SupplierTable!B:B, SupplierTable!A:A, "Not Found")</f>
        <v>S001</v>
      </c>
    </row>
    <row r="46" spans="1:10" x14ac:dyDescent="0.3">
      <c r="A46" t="s">
        <v>52</v>
      </c>
      <c r="B46" t="s">
        <v>66</v>
      </c>
      <c r="C46" t="s">
        <v>89</v>
      </c>
      <c r="D46" t="s">
        <v>100</v>
      </c>
      <c r="E46">
        <v>425</v>
      </c>
      <c r="F46" s="2">
        <v>554.55999999999995</v>
      </c>
      <c r="G46">
        <v>6</v>
      </c>
      <c r="H46">
        <v>13</v>
      </c>
      <c r="I46" s="14">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13</v>
      </c>
      <c r="J46" s="3" t="str">
        <f>_xlfn.XLOOKUP(TRIM(D46), SupplierTable!B:B, SupplierTable!A:A, "Not Found")</f>
        <v>S002</v>
      </c>
    </row>
    <row r="47" spans="1:10" x14ac:dyDescent="0.3">
      <c r="A47" t="s">
        <v>53</v>
      </c>
      <c r="B47" t="s">
        <v>64</v>
      </c>
      <c r="C47" t="s">
        <v>89</v>
      </c>
      <c r="D47" t="s">
        <v>98</v>
      </c>
      <c r="E47">
        <v>837</v>
      </c>
      <c r="F47" s="2">
        <v>1057.68</v>
      </c>
      <c r="G47">
        <v>130</v>
      </c>
      <c r="H47">
        <v>33</v>
      </c>
      <c r="I47"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103</v>
      </c>
      <c r="J47" s="3" t="str">
        <f>_xlfn.XLOOKUP(TRIM(D47), SupplierTable!B:B, SupplierTable!A:A, "Not Found")</f>
        <v>S005</v>
      </c>
    </row>
    <row r="48" spans="1:10" x14ac:dyDescent="0.3">
      <c r="A48" t="s">
        <v>54</v>
      </c>
      <c r="B48" t="s">
        <v>85</v>
      </c>
      <c r="C48" t="s">
        <v>91</v>
      </c>
      <c r="D48" t="s">
        <v>99</v>
      </c>
      <c r="E48">
        <v>698</v>
      </c>
      <c r="F48" s="2">
        <v>911.95</v>
      </c>
      <c r="G48">
        <v>161</v>
      </c>
      <c r="H48">
        <v>43</v>
      </c>
      <c r="I48"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161</v>
      </c>
      <c r="J48" s="3" t="str">
        <f>_xlfn.XLOOKUP(TRIM(D48), SupplierTable!B:B, SupplierTable!A:A, "Not Found")</f>
        <v>S006</v>
      </c>
    </row>
    <row r="49" spans="1:10" x14ac:dyDescent="0.3">
      <c r="A49" t="s">
        <v>55</v>
      </c>
      <c r="B49" t="s">
        <v>88</v>
      </c>
      <c r="C49" t="s">
        <v>90</v>
      </c>
      <c r="D49" t="s">
        <v>97</v>
      </c>
      <c r="E49">
        <v>849</v>
      </c>
      <c r="F49" s="2">
        <v>1053.3800000000001</v>
      </c>
      <c r="G49">
        <v>120</v>
      </c>
      <c r="H49">
        <v>19</v>
      </c>
      <c r="I49"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108</v>
      </c>
      <c r="J49" s="3" t="str">
        <f>_xlfn.XLOOKUP(TRIM(D49), SupplierTable!B:B, SupplierTable!A:A, "Not Found")</f>
        <v>S003</v>
      </c>
    </row>
    <row r="50" spans="1:10" x14ac:dyDescent="0.3">
      <c r="A50" t="s">
        <v>56</v>
      </c>
      <c r="B50" t="s">
        <v>58</v>
      </c>
      <c r="C50" t="s">
        <v>89</v>
      </c>
      <c r="D50" t="s">
        <v>98</v>
      </c>
      <c r="E50">
        <v>923</v>
      </c>
      <c r="F50" s="2">
        <v>968.59</v>
      </c>
      <c r="G50">
        <v>150</v>
      </c>
      <c r="H50">
        <v>26</v>
      </c>
      <c r="I50"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140</v>
      </c>
      <c r="J50" s="3" t="str">
        <f>_xlfn.XLOOKUP(TRIM(D50), SupplierTable!B:B, SupplierTable!A:A, "Not Found")</f>
        <v>S005</v>
      </c>
    </row>
    <row r="51" spans="1:10" x14ac:dyDescent="0.3">
      <c r="A51" t="s">
        <v>57</v>
      </c>
      <c r="B51" t="s">
        <v>66</v>
      </c>
      <c r="C51" t="s">
        <v>90</v>
      </c>
      <c r="D51" t="s">
        <v>99</v>
      </c>
      <c r="E51">
        <v>443</v>
      </c>
      <c r="F51" s="2">
        <v>538.09</v>
      </c>
      <c r="G51">
        <v>34</v>
      </c>
      <c r="H51">
        <v>9</v>
      </c>
      <c r="I51" s="15">
        <f>MAX(InventoryTable[[#This Row],[Stock Quantity]]
+ SUMIFS(TransactionTable[Quantity], TransactionTable[Product ID], InventoryTable[[#This Row],[Product ID]], TransactionTable[Transaction Type], "Stock In")
- SUMIFS(TransactionTable[Quantity], TransactionTable[Product ID], InventoryTable[[#This Row],[Product ID]], TransactionTable[Transaction Type], "Stock Out"), 0)</f>
        <v>32</v>
      </c>
      <c r="J51" s="3" t="str">
        <f>_xlfn.XLOOKUP(TRIM(D51), SupplierTable!B:B, SupplierTable!A:A, "Not Found")</f>
        <v>S006</v>
      </c>
    </row>
  </sheetData>
  <conditionalFormatting sqref="I2:I51">
    <cfRule type="expression" dxfId="21" priority="1">
      <formula>I2&lt;=H2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Highlight_Low_Stock">
                <anchor moveWithCells="1" sizeWithCells="1">
                  <from>
                    <xdr:col>10</xdr:col>
                    <xdr:colOff>609600</xdr:colOff>
                    <xdr:row>1</xdr:row>
                    <xdr:rowOff>0</xdr:rowOff>
                  </from>
                  <to>
                    <xdr:col>13</xdr:col>
                    <xdr:colOff>198120</xdr:colOff>
                    <xdr:row>3</xdr:row>
                    <xdr:rowOff>38100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16C6-D1D4-4CC4-B920-800D199AD769}">
  <sheetPr codeName="Sheet3"/>
  <dimension ref="A1:G101"/>
  <sheetViews>
    <sheetView zoomScale="85" zoomScaleNormal="85" workbookViewId="0">
      <selection activeCell="E25" sqref="E25"/>
    </sheetView>
  </sheetViews>
  <sheetFormatPr defaultRowHeight="14.4" x14ac:dyDescent="0.3"/>
  <cols>
    <col min="1" max="1" width="17.6640625" bestFit="1" customWidth="1"/>
    <col min="2" max="2" width="10.33203125" bestFit="1" customWidth="1"/>
    <col min="3" max="3" width="14.33203125" bestFit="1" customWidth="1"/>
    <col min="4" max="4" width="19.21875" bestFit="1" customWidth="1"/>
    <col min="5" max="5" width="19.88671875" bestFit="1" customWidth="1"/>
    <col min="6" max="6" width="12.77734375" bestFit="1" customWidth="1"/>
    <col min="7" max="7" width="19.21875" bestFit="1" customWidth="1"/>
  </cols>
  <sheetData>
    <row r="1" spans="1:7" x14ac:dyDescent="0.3">
      <c r="A1" s="1" t="s">
        <v>101</v>
      </c>
      <c r="B1" s="1" t="s">
        <v>102</v>
      </c>
      <c r="C1" s="1" t="s">
        <v>0</v>
      </c>
      <c r="D1" s="1" t="s">
        <v>1</v>
      </c>
      <c r="E1" s="1" t="s">
        <v>103</v>
      </c>
      <c r="F1" s="1" t="s">
        <v>104</v>
      </c>
      <c r="G1" s="1" t="s">
        <v>105</v>
      </c>
    </row>
    <row r="2" spans="1:7" x14ac:dyDescent="0.3">
      <c r="A2" t="s">
        <v>106</v>
      </c>
      <c r="B2" t="s">
        <v>107</v>
      </c>
      <c r="C2" t="s">
        <v>9</v>
      </c>
      <c r="D2" t="s">
        <v>59</v>
      </c>
      <c r="E2" t="s">
        <v>108</v>
      </c>
      <c r="F2">
        <v>9</v>
      </c>
      <c r="G2">
        <v>0</v>
      </c>
    </row>
    <row r="3" spans="1:7" x14ac:dyDescent="0.3">
      <c r="A3" t="s">
        <v>109</v>
      </c>
      <c r="B3" t="s">
        <v>110</v>
      </c>
      <c r="C3" t="s">
        <v>28</v>
      </c>
      <c r="D3" t="s">
        <v>63</v>
      </c>
      <c r="E3" t="s">
        <v>111</v>
      </c>
      <c r="F3">
        <v>12</v>
      </c>
      <c r="G3">
        <v>189</v>
      </c>
    </row>
    <row r="4" spans="1:7" x14ac:dyDescent="0.3">
      <c r="A4" t="s">
        <v>112</v>
      </c>
      <c r="B4" t="s">
        <v>113</v>
      </c>
      <c r="C4" t="s">
        <v>48</v>
      </c>
      <c r="D4" t="s">
        <v>77</v>
      </c>
      <c r="E4" t="s">
        <v>111</v>
      </c>
      <c r="F4">
        <v>2</v>
      </c>
      <c r="G4">
        <v>50</v>
      </c>
    </row>
    <row r="5" spans="1:7" x14ac:dyDescent="0.3">
      <c r="A5" t="s">
        <v>114</v>
      </c>
      <c r="B5" t="s">
        <v>115</v>
      </c>
      <c r="C5" t="s">
        <v>35</v>
      </c>
      <c r="D5" t="s">
        <v>77</v>
      </c>
      <c r="E5" t="s">
        <v>111</v>
      </c>
      <c r="F5">
        <v>9</v>
      </c>
      <c r="G5">
        <v>25</v>
      </c>
    </row>
    <row r="6" spans="1:7" x14ac:dyDescent="0.3">
      <c r="A6" t="s">
        <v>116</v>
      </c>
      <c r="B6" t="s">
        <v>117</v>
      </c>
      <c r="C6" t="s">
        <v>50</v>
      </c>
      <c r="D6" t="s">
        <v>87</v>
      </c>
      <c r="E6" t="s">
        <v>111</v>
      </c>
      <c r="F6">
        <v>19</v>
      </c>
      <c r="G6">
        <v>208</v>
      </c>
    </row>
    <row r="7" spans="1:7" x14ac:dyDescent="0.3">
      <c r="A7" t="s">
        <v>118</v>
      </c>
      <c r="B7" t="s">
        <v>119</v>
      </c>
      <c r="C7" t="s">
        <v>34</v>
      </c>
      <c r="D7" t="s">
        <v>76</v>
      </c>
      <c r="E7" t="s">
        <v>111</v>
      </c>
      <c r="F7">
        <v>3</v>
      </c>
      <c r="G7">
        <v>163</v>
      </c>
    </row>
    <row r="8" spans="1:7" x14ac:dyDescent="0.3">
      <c r="A8" t="s">
        <v>120</v>
      </c>
      <c r="B8" t="s">
        <v>121</v>
      </c>
      <c r="C8" t="s">
        <v>39</v>
      </c>
      <c r="D8" t="s">
        <v>78</v>
      </c>
      <c r="E8" t="s">
        <v>111</v>
      </c>
      <c r="F8">
        <v>20</v>
      </c>
      <c r="G8">
        <v>206</v>
      </c>
    </row>
    <row r="9" spans="1:7" x14ac:dyDescent="0.3">
      <c r="A9" t="s">
        <v>122</v>
      </c>
      <c r="B9" t="s">
        <v>123</v>
      </c>
      <c r="C9" t="s">
        <v>45</v>
      </c>
      <c r="D9" t="s">
        <v>84</v>
      </c>
      <c r="E9" t="s">
        <v>111</v>
      </c>
      <c r="F9">
        <v>18</v>
      </c>
      <c r="G9">
        <v>60</v>
      </c>
    </row>
    <row r="10" spans="1:7" x14ac:dyDescent="0.3">
      <c r="A10" t="s">
        <v>124</v>
      </c>
      <c r="B10" t="s">
        <v>125</v>
      </c>
      <c r="C10" t="s">
        <v>30</v>
      </c>
      <c r="D10" t="s">
        <v>73</v>
      </c>
      <c r="E10" t="s">
        <v>111</v>
      </c>
      <c r="F10">
        <v>16</v>
      </c>
      <c r="G10">
        <v>154</v>
      </c>
    </row>
    <row r="11" spans="1:7" x14ac:dyDescent="0.3">
      <c r="A11" t="s">
        <v>126</v>
      </c>
      <c r="B11" t="s">
        <v>127</v>
      </c>
      <c r="C11" t="s">
        <v>17</v>
      </c>
      <c r="D11" t="s">
        <v>66</v>
      </c>
      <c r="E11" t="s">
        <v>111</v>
      </c>
      <c r="F11">
        <v>2</v>
      </c>
      <c r="G11">
        <v>66</v>
      </c>
    </row>
    <row r="12" spans="1:7" x14ac:dyDescent="0.3">
      <c r="A12" t="s">
        <v>128</v>
      </c>
      <c r="B12" t="s">
        <v>129</v>
      </c>
      <c r="C12" t="s">
        <v>50</v>
      </c>
      <c r="D12" t="s">
        <v>87</v>
      </c>
      <c r="E12" t="s">
        <v>111</v>
      </c>
      <c r="F12">
        <v>7</v>
      </c>
      <c r="G12">
        <v>196</v>
      </c>
    </row>
    <row r="13" spans="1:7" x14ac:dyDescent="0.3">
      <c r="A13" t="s">
        <v>130</v>
      </c>
      <c r="B13" t="s">
        <v>131</v>
      </c>
      <c r="C13" t="s">
        <v>11</v>
      </c>
      <c r="D13" t="s">
        <v>61</v>
      </c>
      <c r="E13" t="s">
        <v>111</v>
      </c>
      <c r="F13">
        <v>9</v>
      </c>
      <c r="G13">
        <v>106</v>
      </c>
    </row>
    <row r="14" spans="1:7" x14ac:dyDescent="0.3">
      <c r="A14" t="s">
        <v>132</v>
      </c>
      <c r="B14" t="s">
        <v>133</v>
      </c>
      <c r="C14" t="s">
        <v>43</v>
      </c>
      <c r="D14" t="s">
        <v>82</v>
      </c>
      <c r="E14" t="s">
        <v>111</v>
      </c>
      <c r="F14">
        <v>12</v>
      </c>
      <c r="G14">
        <v>77</v>
      </c>
    </row>
    <row r="15" spans="1:7" x14ac:dyDescent="0.3">
      <c r="A15" t="s">
        <v>134</v>
      </c>
      <c r="B15" t="s">
        <v>135</v>
      </c>
      <c r="C15" t="s">
        <v>18</v>
      </c>
      <c r="D15" t="s">
        <v>67</v>
      </c>
      <c r="E15" t="s">
        <v>111</v>
      </c>
      <c r="F15">
        <v>11</v>
      </c>
      <c r="G15">
        <v>47</v>
      </c>
    </row>
    <row r="16" spans="1:7" x14ac:dyDescent="0.3">
      <c r="A16" t="s">
        <v>136</v>
      </c>
      <c r="B16" t="s">
        <v>137</v>
      </c>
      <c r="C16" t="s">
        <v>48</v>
      </c>
      <c r="D16" t="s">
        <v>77</v>
      </c>
      <c r="E16" t="s">
        <v>111</v>
      </c>
      <c r="F16">
        <v>13</v>
      </c>
      <c r="G16">
        <v>61</v>
      </c>
    </row>
    <row r="17" spans="1:7" x14ac:dyDescent="0.3">
      <c r="A17" t="s">
        <v>138</v>
      </c>
      <c r="B17" t="s">
        <v>139</v>
      </c>
      <c r="C17" t="s">
        <v>31</v>
      </c>
      <c r="D17" t="s">
        <v>74</v>
      </c>
      <c r="E17" t="s">
        <v>111</v>
      </c>
      <c r="F17">
        <v>3</v>
      </c>
      <c r="G17">
        <v>35</v>
      </c>
    </row>
    <row r="18" spans="1:7" x14ac:dyDescent="0.3">
      <c r="A18" t="s">
        <v>140</v>
      </c>
      <c r="B18" t="s">
        <v>141</v>
      </c>
      <c r="C18" t="s">
        <v>49</v>
      </c>
      <c r="D18" t="s">
        <v>86</v>
      </c>
      <c r="E18" t="s">
        <v>108</v>
      </c>
      <c r="F18">
        <v>16</v>
      </c>
      <c r="G18">
        <v>79</v>
      </c>
    </row>
    <row r="19" spans="1:7" x14ac:dyDescent="0.3">
      <c r="A19" t="s">
        <v>142</v>
      </c>
      <c r="B19" t="s">
        <v>143</v>
      </c>
      <c r="C19" t="s">
        <v>51</v>
      </c>
      <c r="D19" t="s">
        <v>74</v>
      </c>
      <c r="E19" t="s">
        <v>111</v>
      </c>
      <c r="F19">
        <v>13</v>
      </c>
      <c r="G19">
        <v>46</v>
      </c>
    </row>
    <row r="20" spans="1:7" x14ac:dyDescent="0.3">
      <c r="A20" t="s">
        <v>144</v>
      </c>
      <c r="B20" t="s">
        <v>145</v>
      </c>
      <c r="C20" t="s">
        <v>9</v>
      </c>
      <c r="D20" t="s">
        <v>59</v>
      </c>
      <c r="E20" t="s">
        <v>108</v>
      </c>
      <c r="F20">
        <v>9</v>
      </c>
      <c r="G20">
        <v>0</v>
      </c>
    </row>
    <row r="21" spans="1:7" x14ac:dyDescent="0.3">
      <c r="A21" t="s">
        <v>146</v>
      </c>
      <c r="B21" t="s">
        <v>147</v>
      </c>
      <c r="C21" t="s">
        <v>40</v>
      </c>
      <c r="D21" t="s">
        <v>79</v>
      </c>
      <c r="E21" t="s">
        <v>108</v>
      </c>
      <c r="F21">
        <v>11</v>
      </c>
      <c r="G21">
        <v>63</v>
      </c>
    </row>
    <row r="22" spans="1:7" x14ac:dyDescent="0.3">
      <c r="A22" t="s">
        <v>148</v>
      </c>
      <c r="B22" t="s">
        <v>113</v>
      </c>
      <c r="C22" t="s">
        <v>50</v>
      </c>
      <c r="D22" t="s">
        <v>87</v>
      </c>
      <c r="E22" t="s">
        <v>111</v>
      </c>
      <c r="F22">
        <v>17</v>
      </c>
      <c r="G22">
        <v>206</v>
      </c>
    </row>
    <row r="23" spans="1:7" x14ac:dyDescent="0.3">
      <c r="A23" t="s">
        <v>149</v>
      </c>
      <c r="B23" t="s">
        <v>150</v>
      </c>
      <c r="C23" t="s">
        <v>14</v>
      </c>
      <c r="D23" t="s">
        <v>64</v>
      </c>
      <c r="E23" t="s">
        <v>111</v>
      </c>
      <c r="F23">
        <v>20</v>
      </c>
      <c r="G23">
        <v>162</v>
      </c>
    </row>
    <row r="24" spans="1:7" x14ac:dyDescent="0.3">
      <c r="A24" t="s">
        <v>151</v>
      </c>
      <c r="B24" t="s">
        <v>152</v>
      </c>
      <c r="C24" t="s">
        <v>31</v>
      </c>
      <c r="D24" t="s">
        <v>74</v>
      </c>
      <c r="E24" t="s">
        <v>111</v>
      </c>
      <c r="F24">
        <v>1</v>
      </c>
      <c r="G24">
        <v>33</v>
      </c>
    </row>
    <row r="25" spans="1:7" x14ac:dyDescent="0.3">
      <c r="A25" t="s">
        <v>153</v>
      </c>
      <c r="B25" t="s">
        <v>113</v>
      </c>
      <c r="C25" t="s">
        <v>53</v>
      </c>
      <c r="D25" t="s">
        <v>64</v>
      </c>
      <c r="E25" t="s">
        <v>108</v>
      </c>
      <c r="F25">
        <v>3</v>
      </c>
      <c r="G25">
        <v>127</v>
      </c>
    </row>
    <row r="26" spans="1:7" x14ac:dyDescent="0.3">
      <c r="A26" t="s">
        <v>154</v>
      </c>
      <c r="B26" t="s">
        <v>155</v>
      </c>
      <c r="C26" t="s">
        <v>37</v>
      </c>
      <c r="D26" t="s">
        <v>60</v>
      </c>
      <c r="E26" t="s">
        <v>111</v>
      </c>
      <c r="F26">
        <v>13</v>
      </c>
      <c r="G26">
        <v>59</v>
      </c>
    </row>
    <row r="27" spans="1:7" x14ac:dyDescent="0.3">
      <c r="A27" t="s">
        <v>156</v>
      </c>
      <c r="B27" t="s">
        <v>157</v>
      </c>
      <c r="C27" t="s">
        <v>30</v>
      </c>
      <c r="D27" t="s">
        <v>73</v>
      </c>
      <c r="E27" t="s">
        <v>111</v>
      </c>
      <c r="F27">
        <v>13</v>
      </c>
      <c r="G27">
        <v>151</v>
      </c>
    </row>
    <row r="28" spans="1:7" x14ac:dyDescent="0.3">
      <c r="A28" t="s">
        <v>158</v>
      </c>
      <c r="B28" t="s">
        <v>159</v>
      </c>
      <c r="C28" t="s">
        <v>46</v>
      </c>
      <c r="D28" t="s">
        <v>73</v>
      </c>
      <c r="E28" t="s">
        <v>108</v>
      </c>
      <c r="F28">
        <v>6</v>
      </c>
      <c r="G28">
        <v>132</v>
      </c>
    </row>
    <row r="29" spans="1:7" x14ac:dyDescent="0.3">
      <c r="A29" t="s">
        <v>160</v>
      </c>
      <c r="B29" t="s">
        <v>107</v>
      </c>
      <c r="C29" t="s">
        <v>51</v>
      </c>
      <c r="D29" t="s">
        <v>74</v>
      </c>
      <c r="E29" t="s">
        <v>111</v>
      </c>
      <c r="F29">
        <v>6</v>
      </c>
      <c r="G29">
        <v>39</v>
      </c>
    </row>
    <row r="30" spans="1:7" x14ac:dyDescent="0.3">
      <c r="A30" t="s">
        <v>161</v>
      </c>
      <c r="B30" t="s">
        <v>162</v>
      </c>
      <c r="C30" t="s">
        <v>47</v>
      </c>
      <c r="D30" t="s">
        <v>85</v>
      </c>
      <c r="E30" t="s">
        <v>108</v>
      </c>
      <c r="F30">
        <v>5</v>
      </c>
      <c r="G30">
        <v>114</v>
      </c>
    </row>
    <row r="31" spans="1:7" x14ac:dyDescent="0.3">
      <c r="A31" t="s">
        <v>163</v>
      </c>
      <c r="B31" t="s">
        <v>164</v>
      </c>
      <c r="C31" t="s">
        <v>31</v>
      </c>
      <c r="D31" t="s">
        <v>74</v>
      </c>
      <c r="E31" t="s">
        <v>108</v>
      </c>
      <c r="F31">
        <v>15</v>
      </c>
      <c r="G31">
        <v>17</v>
      </c>
    </row>
    <row r="32" spans="1:7" x14ac:dyDescent="0.3">
      <c r="A32" t="s">
        <v>165</v>
      </c>
      <c r="B32" t="s">
        <v>164</v>
      </c>
      <c r="C32" t="s">
        <v>44</v>
      </c>
      <c r="D32" t="s">
        <v>83</v>
      </c>
      <c r="E32" t="s">
        <v>111</v>
      </c>
      <c r="F32">
        <v>20</v>
      </c>
      <c r="G32">
        <v>59</v>
      </c>
    </row>
    <row r="33" spans="1:7" x14ac:dyDescent="0.3">
      <c r="A33" t="s">
        <v>166</v>
      </c>
      <c r="B33" t="s">
        <v>143</v>
      </c>
      <c r="C33" t="s">
        <v>17</v>
      </c>
      <c r="D33" t="s">
        <v>66</v>
      </c>
      <c r="E33" t="s">
        <v>111</v>
      </c>
      <c r="F33">
        <v>12</v>
      </c>
      <c r="G33">
        <v>76</v>
      </c>
    </row>
    <row r="34" spans="1:7" x14ac:dyDescent="0.3">
      <c r="A34" t="s">
        <v>167</v>
      </c>
      <c r="B34" t="s">
        <v>147</v>
      </c>
      <c r="C34" t="s">
        <v>30</v>
      </c>
      <c r="D34" t="s">
        <v>73</v>
      </c>
      <c r="E34" t="s">
        <v>108</v>
      </c>
      <c r="F34">
        <v>4</v>
      </c>
      <c r="G34">
        <v>134</v>
      </c>
    </row>
    <row r="35" spans="1:7" x14ac:dyDescent="0.3">
      <c r="A35" t="s">
        <v>168</v>
      </c>
      <c r="B35" t="s">
        <v>169</v>
      </c>
      <c r="C35" t="s">
        <v>18</v>
      </c>
      <c r="D35" t="s">
        <v>67</v>
      </c>
      <c r="E35" t="s">
        <v>111</v>
      </c>
      <c r="F35">
        <v>12</v>
      </c>
      <c r="G35">
        <v>48</v>
      </c>
    </row>
    <row r="36" spans="1:7" x14ac:dyDescent="0.3">
      <c r="A36" t="s">
        <v>170</v>
      </c>
      <c r="B36" t="s">
        <v>171</v>
      </c>
      <c r="C36" t="s">
        <v>27</v>
      </c>
      <c r="D36" t="s">
        <v>71</v>
      </c>
      <c r="E36" t="s">
        <v>108</v>
      </c>
      <c r="F36">
        <v>20</v>
      </c>
      <c r="G36">
        <v>107</v>
      </c>
    </row>
    <row r="37" spans="1:7" x14ac:dyDescent="0.3">
      <c r="A37" t="s">
        <v>172</v>
      </c>
      <c r="B37" t="s">
        <v>173</v>
      </c>
      <c r="C37" t="s">
        <v>53</v>
      </c>
      <c r="D37" t="s">
        <v>64</v>
      </c>
      <c r="E37" t="s">
        <v>108</v>
      </c>
      <c r="F37">
        <v>18</v>
      </c>
      <c r="G37">
        <v>112</v>
      </c>
    </row>
    <row r="38" spans="1:7" x14ac:dyDescent="0.3">
      <c r="A38" t="s">
        <v>174</v>
      </c>
      <c r="B38" t="s">
        <v>139</v>
      </c>
      <c r="C38" t="s">
        <v>51</v>
      </c>
      <c r="D38" t="s">
        <v>74</v>
      </c>
      <c r="E38" t="s">
        <v>111</v>
      </c>
      <c r="F38">
        <v>16</v>
      </c>
      <c r="G38">
        <v>49</v>
      </c>
    </row>
    <row r="39" spans="1:7" x14ac:dyDescent="0.3">
      <c r="A39" t="s">
        <v>175</v>
      </c>
      <c r="B39" t="s">
        <v>147</v>
      </c>
      <c r="C39" t="s">
        <v>48</v>
      </c>
      <c r="D39" t="s">
        <v>77</v>
      </c>
      <c r="E39" t="s">
        <v>111</v>
      </c>
      <c r="F39">
        <v>18</v>
      </c>
      <c r="G39">
        <v>66</v>
      </c>
    </row>
    <row r="40" spans="1:7" x14ac:dyDescent="0.3">
      <c r="A40" t="s">
        <v>176</v>
      </c>
      <c r="B40" t="s">
        <v>115</v>
      </c>
      <c r="C40" t="s">
        <v>45</v>
      </c>
      <c r="D40" t="s">
        <v>84</v>
      </c>
      <c r="E40" t="s">
        <v>108</v>
      </c>
      <c r="F40">
        <v>5</v>
      </c>
      <c r="G40">
        <v>37</v>
      </c>
    </row>
    <row r="41" spans="1:7" x14ac:dyDescent="0.3">
      <c r="A41" t="s">
        <v>177</v>
      </c>
      <c r="B41" t="s">
        <v>178</v>
      </c>
      <c r="C41" t="s">
        <v>30</v>
      </c>
      <c r="D41" t="s">
        <v>73</v>
      </c>
      <c r="E41" t="s">
        <v>111</v>
      </c>
      <c r="F41">
        <v>15</v>
      </c>
      <c r="G41">
        <v>153</v>
      </c>
    </row>
    <row r="42" spans="1:7" x14ac:dyDescent="0.3">
      <c r="A42" t="s">
        <v>179</v>
      </c>
      <c r="B42" t="s">
        <v>180</v>
      </c>
      <c r="C42" t="s">
        <v>21</v>
      </c>
      <c r="D42" t="s">
        <v>70</v>
      </c>
      <c r="E42" t="s">
        <v>108</v>
      </c>
      <c r="F42">
        <v>2</v>
      </c>
      <c r="G42">
        <v>129</v>
      </c>
    </row>
    <row r="43" spans="1:7" x14ac:dyDescent="0.3">
      <c r="A43" t="s">
        <v>181</v>
      </c>
      <c r="B43" t="s">
        <v>182</v>
      </c>
      <c r="C43" t="s">
        <v>11</v>
      </c>
      <c r="D43" t="s">
        <v>61</v>
      </c>
      <c r="E43" t="s">
        <v>108</v>
      </c>
      <c r="F43">
        <v>15</v>
      </c>
      <c r="G43">
        <v>82</v>
      </c>
    </row>
    <row r="44" spans="1:7" x14ac:dyDescent="0.3">
      <c r="A44" t="s">
        <v>183</v>
      </c>
      <c r="B44" t="s">
        <v>152</v>
      </c>
      <c r="C44" t="s">
        <v>12</v>
      </c>
      <c r="D44" t="s">
        <v>62</v>
      </c>
      <c r="E44" t="s">
        <v>111</v>
      </c>
      <c r="F44">
        <v>3</v>
      </c>
      <c r="G44">
        <v>35</v>
      </c>
    </row>
    <row r="45" spans="1:7" x14ac:dyDescent="0.3">
      <c r="A45" t="s">
        <v>184</v>
      </c>
      <c r="B45" t="s">
        <v>185</v>
      </c>
      <c r="C45" t="s">
        <v>51</v>
      </c>
      <c r="D45" t="s">
        <v>74</v>
      </c>
      <c r="E45" t="s">
        <v>111</v>
      </c>
      <c r="F45">
        <v>4</v>
      </c>
      <c r="G45">
        <v>37</v>
      </c>
    </row>
    <row r="46" spans="1:7" x14ac:dyDescent="0.3">
      <c r="A46" t="s">
        <v>186</v>
      </c>
      <c r="B46" t="s">
        <v>187</v>
      </c>
      <c r="C46" t="s">
        <v>48</v>
      </c>
      <c r="D46" t="s">
        <v>77</v>
      </c>
      <c r="E46" t="s">
        <v>111</v>
      </c>
      <c r="F46">
        <v>8</v>
      </c>
      <c r="G46">
        <v>56</v>
      </c>
    </row>
    <row r="47" spans="1:7" x14ac:dyDescent="0.3">
      <c r="A47" t="s">
        <v>188</v>
      </c>
      <c r="B47" t="s">
        <v>189</v>
      </c>
      <c r="C47" t="s">
        <v>50</v>
      </c>
      <c r="D47" t="s">
        <v>87</v>
      </c>
      <c r="E47" t="s">
        <v>111</v>
      </c>
      <c r="F47">
        <v>13</v>
      </c>
      <c r="G47">
        <v>202</v>
      </c>
    </row>
    <row r="48" spans="1:7" x14ac:dyDescent="0.3">
      <c r="A48" t="s">
        <v>190</v>
      </c>
      <c r="B48" t="s">
        <v>191</v>
      </c>
      <c r="C48" t="s">
        <v>9</v>
      </c>
      <c r="D48" t="s">
        <v>59</v>
      </c>
      <c r="E48" t="s">
        <v>108</v>
      </c>
      <c r="F48">
        <v>9</v>
      </c>
      <c r="G48">
        <v>0</v>
      </c>
    </row>
    <row r="49" spans="1:7" x14ac:dyDescent="0.3">
      <c r="A49" t="s">
        <v>192</v>
      </c>
      <c r="B49" t="s">
        <v>193</v>
      </c>
      <c r="C49" t="s">
        <v>18</v>
      </c>
      <c r="D49" t="s">
        <v>67</v>
      </c>
      <c r="E49" t="s">
        <v>108</v>
      </c>
      <c r="F49">
        <v>9</v>
      </c>
      <c r="G49">
        <v>27</v>
      </c>
    </row>
    <row r="50" spans="1:7" x14ac:dyDescent="0.3">
      <c r="A50" t="s">
        <v>194</v>
      </c>
      <c r="B50" t="s">
        <v>195</v>
      </c>
      <c r="C50" t="s">
        <v>10</v>
      </c>
      <c r="D50" t="s">
        <v>60</v>
      </c>
      <c r="E50" t="s">
        <v>108</v>
      </c>
      <c r="F50">
        <v>5</v>
      </c>
      <c r="G50">
        <v>166</v>
      </c>
    </row>
    <row r="51" spans="1:7" x14ac:dyDescent="0.3">
      <c r="A51" t="s">
        <v>196</v>
      </c>
      <c r="B51" t="s">
        <v>189</v>
      </c>
      <c r="C51" t="s">
        <v>10</v>
      </c>
      <c r="D51" t="s">
        <v>60</v>
      </c>
      <c r="E51" t="s">
        <v>108</v>
      </c>
      <c r="F51">
        <v>15</v>
      </c>
      <c r="G51">
        <v>156</v>
      </c>
    </row>
    <row r="52" spans="1:7" x14ac:dyDescent="0.3">
      <c r="A52" t="s">
        <v>197</v>
      </c>
      <c r="B52" t="s">
        <v>110</v>
      </c>
      <c r="C52" t="s">
        <v>51</v>
      </c>
      <c r="D52" t="s">
        <v>74</v>
      </c>
      <c r="E52" t="s">
        <v>111</v>
      </c>
      <c r="F52">
        <v>7</v>
      </c>
      <c r="G52">
        <v>40</v>
      </c>
    </row>
    <row r="53" spans="1:7" x14ac:dyDescent="0.3">
      <c r="A53" t="s">
        <v>198</v>
      </c>
      <c r="B53" t="s">
        <v>199</v>
      </c>
      <c r="C53" t="s">
        <v>53</v>
      </c>
      <c r="D53" t="s">
        <v>64</v>
      </c>
      <c r="E53" t="s">
        <v>108</v>
      </c>
      <c r="F53">
        <v>6</v>
      </c>
      <c r="G53">
        <v>124</v>
      </c>
    </row>
    <row r="54" spans="1:7" x14ac:dyDescent="0.3">
      <c r="A54" t="s">
        <v>200</v>
      </c>
      <c r="B54" t="s">
        <v>171</v>
      </c>
      <c r="C54" t="s">
        <v>29</v>
      </c>
      <c r="D54" t="s">
        <v>60</v>
      </c>
      <c r="E54" t="s">
        <v>108</v>
      </c>
      <c r="F54">
        <v>16</v>
      </c>
      <c r="G54">
        <v>25</v>
      </c>
    </row>
    <row r="55" spans="1:7" x14ac:dyDescent="0.3">
      <c r="A55" t="s">
        <v>201</v>
      </c>
      <c r="B55" t="s">
        <v>202</v>
      </c>
      <c r="C55" t="s">
        <v>16</v>
      </c>
      <c r="D55" t="s">
        <v>65</v>
      </c>
      <c r="E55" t="s">
        <v>108</v>
      </c>
      <c r="F55">
        <v>18</v>
      </c>
      <c r="G55">
        <v>165</v>
      </c>
    </row>
    <row r="56" spans="1:7" x14ac:dyDescent="0.3">
      <c r="A56" t="s">
        <v>203</v>
      </c>
      <c r="B56" t="s">
        <v>204</v>
      </c>
      <c r="C56" t="s">
        <v>34</v>
      </c>
      <c r="D56" t="s">
        <v>76</v>
      </c>
      <c r="E56" t="s">
        <v>111</v>
      </c>
      <c r="F56">
        <v>14</v>
      </c>
      <c r="G56">
        <v>174</v>
      </c>
    </row>
    <row r="57" spans="1:7" x14ac:dyDescent="0.3">
      <c r="A57" t="s">
        <v>205</v>
      </c>
      <c r="B57" t="s">
        <v>206</v>
      </c>
      <c r="C57" t="s">
        <v>36</v>
      </c>
      <c r="D57" t="s">
        <v>68</v>
      </c>
      <c r="E57" t="s">
        <v>111</v>
      </c>
      <c r="F57">
        <v>5</v>
      </c>
      <c r="G57">
        <v>192</v>
      </c>
    </row>
    <row r="58" spans="1:7" x14ac:dyDescent="0.3">
      <c r="A58" t="s">
        <v>207</v>
      </c>
      <c r="B58" t="s">
        <v>208</v>
      </c>
      <c r="C58" t="s">
        <v>11</v>
      </c>
      <c r="D58" t="s">
        <v>61</v>
      </c>
      <c r="E58" t="s">
        <v>111</v>
      </c>
      <c r="F58">
        <v>6</v>
      </c>
      <c r="G58">
        <v>103</v>
      </c>
    </row>
    <row r="59" spans="1:7" x14ac:dyDescent="0.3">
      <c r="A59" t="s">
        <v>209</v>
      </c>
      <c r="B59" t="s">
        <v>150</v>
      </c>
      <c r="C59" t="s">
        <v>56</v>
      </c>
      <c r="D59" t="s">
        <v>58</v>
      </c>
      <c r="E59" t="s">
        <v>108</v>
      </c>
      <c r="F59">
        <v>19</v>
      </c>
      <c r="G59">
        <v>90</v>
      </c>
    </row>
    <row r="60" spans="1:7" x14ac:dyDescent="0.3">
      <c r="A60" t="s">
        <v>210</v>
      </c>
      <c r="B60" t="s">
        <v>135</v>
      </c>
      <c r="C60" t="s">
        <v>41</v>
      </c>
      <c r="D60" t="s">
        <v>80</v>
      </c>
      <c r="E60" t="s">
        <v>108</v>
      </c>
      <c r="F60">
        <v>17</v>
      </c>
      <c r="G60">
        <v>135</v>
      </c>
    </row>
    <row r="61" spans="1:7" x14ac:dyDescent="0.3">
      <c r="A61" t="s">
        <v>211</v>
      </c>
      <c r="B61" t="s">
        <v>150</v>
      </c>
      <c r="C61" t="s">
        <v>51</v>
      </c>
      <c r="D61" t="s">
        <v>74</v>
      </c>
      <c r="E61" t="s">
        <v>111</v>
      </c>
      <c r="F61">
        <v>2</v>
      </c>
      <c r="G61">
        <v>35</v>
      </c>
    </row>
    <row r="62" spans="1:7" x14ac:dyDescent="0.3">
      <c r="A62" t="s">
        <v>212</v>
      </c>
      <c r="B62" t="s">
        <v>195</v>
      </c>
      <c r="C62" t="s">
        <v>22</v>
      </c>
      <c r="D62" t="s">
        <v>71</v>
      </c>
      <c r="E62" t="s">
        <v>108</v>
      </c>
      <c r="F62">
        <v>20</v>
      </c>
      <c r="G62">
        <v>68</v>
      </c>
    </row>
    <row r="63" spans="1:7" x14ac:dyDescent="0.3">
      <c r="A63" t="s">
        <v>213</v>
      </c>
      <c r="B63" t="s">
        <v>214</v>
      </c>
      <c r="C63" t="s">
        <v>48</v>
      </c>
      <c r="D63" t="s">
        <v>77</v>
      </c>
      <c r="E63" t="s">
        <v>108</v>
      </c>
      <c r="F63">
        <v>3</v>
      </c>
      <c r="G63">
        <v>45</v>
      </c>
    </row>
    <row r="64" spans="1:7" x14ac:dyDescent="0.3">
      <c r="A64" t="s">
        <v>215</v>
      </c>
      <c r="B64" t="s">
        <v>216</v>
      </c>
      <c r="C64" t="s">
        <v>24</v>
      </c>
      <c r="D64" t="s">
        <v>72</v>
      </c>
      <c r="E64" t="s">
        <v>111</v>
      </c>
      <c r="F64">
        <v>11</v>
      </c>
      <c r="G64">
        <v>134</v>
      </c>
    </row>
    <row r="65" spans="1:7" x14ac:dyDescent="0.3">
      <c r="A65" t="s">
        <v>217</v>
      </c>
      <c r="B65" t="s">
        <v>218</v>
      </c>
      <c r="C65" t="s">
        <v>18</v>
      </c>
      <c r="D65" t="s">
        <v>67</v>
      </c>
      <c r="E65" t="s">
        <v>108</v>
      </c>
      <c r="F65">
        <v>1</v>
      </c>
      <c r="G65">
        <v>35</v>
      </c>
    </row>
    <row r="66" spans="1:7" x14ac:dyDescent="0.3">
      <c r="A66" t="s">
        <v>219</v>
      </c>
      <c r="B66" t="s">
        <v>115</v>
      </c>
      <c r="C66" t="s">
        <v>34</v>
      </c>
      <c r="D66" t="s">
        <v>76</v>
      </c>
      <c r="E66" t="s">
        <v>111</v>
      </c>
      <c r="F66">
        <v>10</v>
      </c>
      <c r="G66">
        <v>170</v>
      </c>
    </row>
    <row r="67" spans="1:7" x14ac:dyDescent="0.3">
      <c r="A67" t="s">
        <v>220</v>
      </c>
      <c r="B67" t="s">
        <v>221</v>
      </c>
      <c r="C67" t="s">
        <v>31</v>
      </c>
      <c r="D67" t="s">
        <v>74</v>
      </c>
      <c r="E67" t="s">
        <v>108</v>
      </c>
      <c r="F67">
        <v>19</v>
      </c>
      <c r="G67">
        <v>13</v>
      </c>
    </row>
    <row r="68" spans="1:7" x14ac:dyDescent="0.3">
      <c r="A68" t="s">
        <v>222</v>
      </c>
      <c r="B68" t="s">
        <v>191</v>
      </c>
      <c r="C68" t="s">
        <v>9</v>
      </c>
      <c r="D68" t="s">
        <v>59</v>
      </c>
      <c r="E68" t="s">
        <v>108</v>
      </c>
      <c r="F68">
        <v>7</v>
      </c>
      <c r="G68">
        <v>2</v>
      </c>
    </row>
    <row r="69" spans="1:7" x14ac:dyDescent="0.3">
      <c r="A69" t="s">
        <v>223</v>
      </c>
      <c r="B69" t="s">
        <v>221</v>
      </c>
      <c r="C69" t="s">
        <v>20</v>
      </c>
      <c r="D69" t="s">
        <v>69</v>
      </c>
      <c r="E69" t="s">
        <v>111</v>
      </c>
      <c r="F69">
        <v>10</v>
      </c>
      <c r="G69">
        <v>181</v>
      </c>
    </row>
    <row r="70" spans="1:7" x14ac:dyDescent="0.3">
      <c r="A70" t="s">
        <v>224</v>
      </c>
      <c r="B70" t="s">
        <v>216</v>
      </c>
      <c r="C70" t="s">
        <v>25</v>
      </c>
      <c r="D70" t="s">
        <v>67</v>
      </c>
      <c r="E70" t="s">
        <v>111</v>
      </c>
      <c r="F70">
        <v>19</v>
      </c>
      <c r="G70">
        <v>160</v>
      </c>
    </row>
    <row r="71" spans="1:7" x14ac:dyDescent="0.3">
      <c r="A71" t="s">
        <v>225</v>
      </c>
      <c r="B71" t="s">
        <v>169</v>
      </c>
      <c r="C71" t="s">
        <v>16</v>
      </c>
      <c r="D71" t="s">
        <v>65</v>
      </c>
      <c r="E71" t="s">
        <v>111</v>
      </c>
      <c r="F71">
        <v>14</v>
      </c>
      <c r="G71">
        <v>197</v>
      </c>
    </row>
    <row r="72" spans="1:7" x14ac:dyDescent="0.3">
      <c r="A72" t="s">
        <v>226</v>
      </c>
      <c r="B72" t="s">
        <v>110</v>
      </c>
      <c r="C72" t="s">
        <v>34</v>
      </c>
      <c r="D72" t="s">
        <v>76</v>
      </c>
      <c r="E72" t="s">
        <v>111</v>
      </c>
      <c r="F72">
        <v>7</v>
      </c>
      <c r="G72">
        <v>167</v>
      </c>
    </row>
    <row r="73" spans="1:7" x14ac:dyDescent="0.3">
      <c r="A73" t="s">
        <v>227</v>
      </c>
      <c r="B73" t="s">
        <v>228</v>
      </c>
      <c r="C73" t="s">
        <v>13</v>
      </c>
      <c r="D73" t="s">
        <v>63</v>
      </c>
      <c r="E73" t="s">
        <v>108</v>
      </c>
      <c r="F73">
        <v>13</v>
      </c>
      <c r="G73">
        <v>114</v>
      </c>
    </row>
    <row r="74" spans="1:7" x14ac:dyDescent="0.3">
      <c r="A74" t="s">
        <v>229</v>
      </c>
      <c r="B74" t="s">
        <v>137</v>
      </c>
      <c r="C74" t="s">
        <v>28</v>
      </c>
      <c r="D74" t="s">
        <v>63</v>
      </c>
      <c r="E74" t="s">
        <v>111</v>
      </c>
      <c r="F74">
        <v>16</v>
      </c>
      <c r="G74">
        <v>193</v>
      </c>
    </row>
    <row r="75" spans="1:7" x14ac:dyDescent="0.3">
      <c r="A75" t="s">
        <v>230</v>
      </c>
      <c r="B75" t="s">
        <v>115</v>
      </c>
      <c r="C75" t="s">
        <v>26</v>
      </c>
      <c r="D75" t="s">
        <v>68</v>
      </c>
      <c r="E75" t="s">
        <v>108</v>
      </c>
      <c r="F75">
        <v>8</v>
      </c>
      <c r="G75">
        <v>17</v>
      </c>
    </row>
    <row r="76" spans="1:7" x14ac:dyDescent="0.3">
      <c r="A76" t="s">
        <v>231</v>
      </c>
      <c r="B76" t="s">
        <v>129</v>
      </c>
      <c r="C76" t="s">
        <v>48</v>
      </c>
      <c r="D76" t="s">
        <v>77</v>
      </c>
      <c r="E76" t="s">
        <v>108</v>
      </c>
      <c r="F76">
        <v>20</v>
      </c>
      <c r="G76">
        <v>28</v>
      </c>
    </row>
    <row r="77" spans="1:7" x14ac:dyDescent="0.3">
      <c r="A77" t="s">
        <v>232</v>
      </c>
      <c r="B77" t="s">
        <v>195</v>
      </c>
      <c r="C77" t="s">
        <v>22</v>
      </c>
      <c r="D77" t="s">
        <v>71</v>
      </c>
      <c r="E77" t="s">
        <v>111</v>
      </c>
      <c r="F77">
        <v>2</v>
      </c>
      <c r="G77">
        <v>90</v>
      </c>
    </row>
    <row r="78" spans="1:7" x14ac:dyDescent="0.3">
      <c r="A78" t="s">
        <v>233</v>
      </c>
      <c r="B78" t="s">
        <v>234</v>
      </c>
      <c r="C78" t="s">
        <v>25</v>
      </c>
      <c r="D78" t="s">
        <v>67</v>
      </c>
      <c r="E78" t="s">
        <v>108</v>
      </c>
      <c r="F78">
        <v>17</v>
      </c>
      <c r="G78">
        <v>124</v>
      </c>
    </row>
    <row r="79" spans="1:7" x14ac:dyDescent="0.3">
      <c r="A79" t="s">
        <v>235</v>
      </c>
      <c r="B79" t="s">
        <v>218</v>
      </c>
      <c r="C79" t="s">
        <v>18</v>
      </c>
      <c r="D79" t="s">
        <v>67</v>
      </c>
      <c r="E79" t="s">
        <v>111</v>
      </c>
      <c r="F79">
        <v>8</v>
      </c>
      <c r="G79">
        <v>44</v>
      </c>
    </row>
    <row r="80" spans="1:7" x14ac:dyDescent="0.3">
      <c r="A80" t="s">
        <v>236</v>
      </c>
      <c r="B80" t="s">
        <v>123</v>
      </c>
      <c r="C80" t="s">
        <v>52</v>
      </c>
      <c r="D80" t="s">
        <v>66</v>
      </c>
      <c r="E80" t="s">
        <v>108</v>
      </c>
      <c r="F80">
        <v>6</v>
      </c>
      <c r="G80">
        <v>0</v>
      </c>
    </row>
    <row r="81" spans="1:7" x14ac:dyDescent="0.3">
      <c r="A81" t="s">
        <v>237</v>
      </c>
      <c r="B81" t="s">
        <v>135</v>
      </c>
      <c r="C81" t="s">
        <v>22</v>
      </c>
      <c r="D81" t="s">
        <v>71</v>
      </c>
      <c r="E81" t="s">
        <v>108</v>
      </c>
      <c r="F81">
        <v>2</v>
      </c>
      <c r="G81">
        <v>86</v>
      </c>
    </row>
    <row r="82" spans="1:7" x14ac:dyDescent="0.3">
      <c r="A82" t="s">
        <v>238</v>
      </c>
      <c r="B82" t="s">
        <v>239</v>
      </c>
      <c r="C82" t="s">
        <v>39</v>
      </c>
      <c r="D82" t="s">
        <v>78</v>
      </c>
      <c r="E82" t="s">
        <v>108</v>
      </c>
      <c r="F82">
        <v>2</v>
      </c>
      <c r="G82">
        <v>184</v>
      </c>
    </row>
    <row r="83" spans="1:7" x14ac:dyDescent="0.3">
      <c r="A83" t="s">
        <v>240</v>
      </c>
      <c r="B83" t="s">
        <v>125</v>
      </c>
      <c r="C83" t="s">
        <v>42</v>
      </c>
      <c r="D83" t="s">
        <v>81</v>
      </c>
      <c r="E83" t="s">
        <v>111</v>
      </c>
      <c r="F83">
        <v>16</v>
      </c>
      <c r="G83">
        <v>84</v>
      </c>
    </row>
    <row r="84" spans="1:7" x14ac:dyDescent="0.3">
      <c r="A84" t="s">
        <v>241</v>
      </c>
      <c r="B84" t="s">
        <v>189</v>
      </c>
      <c r="C84" t="s">
        <v>10</v>
      </c>
      <c r="D84" t="s">
        <v>60</v>
      </c>
      <c r="E84" t="s">
        <v>108</v>
      </c>
      <c r="F84">
        <v>17</v>
      </c>
      <c r="G84">
        <v>154</v>
      </c>
    </row>
    <row r="85" spans="1:7" x14ac:dyDescent="0.3">
      <c r="A85" t="s">
        <v>242</v>
      </c>
      <c r="B85" t="s">
        <v>202</v>
      </c>
      <c r="C85" t="s">
        <v>20</v>
      </c>
      <c r="D85" t="s">
        <v>69</v>
      </c>
      <c r="E85" t="s">
        <v>108</v>
      </c>
      <c r="F85">
        <v>5</v>
      </c>
      <c r="G85">
        <v>166</v>
      </c>
    </row>
    <row r="86" spans="1:7" x14ac:dyDescent="0.3">
      <c r="A86" t="s">
        <v>243</v>
      </c>
      <c r="B86" t="s">
        <v>244</v>
      </c>
      <c r="C86" t="s">
        <v>52</v>
      </c>
      <c r="D86" t="s">
        <v>66</v>
      </c>
      <c r="E86" t="s">
        <v>111</v>
      </c>
      <c r="F86">
        <v>13</v>
      </c>
      <c r="G86">
        <v>19</v>
      </c>
    </row>
    <row r="87" spans="1:7" x14ac:dyDescent="0.3">
      <c r="A87" t="s">
        <v>245</v>
      </c>
      <c r="B87" t="s">
        <v>239</v>
      </c>
      <c r="C87" t="s">
        <v>43</v>
      </c>
      <c r="D87" t="s">
        <v>82</v>
      </c>
      <c r="E87" t="s">
        <v>111</v>
      </c>
      <c r="F87">
        <v>14</v>
      </c>
      <c r="G87">
        <v>79</v>
      </c>
    </row>
    <row r="88" spans="1:7" x14ac:dyDescent="0.3">
      <c r="A88" t="s">
        <v>246</v>
      </c>
      <c r="B88" t="s">
        <v>247</v>
      </c>
      <c r="C88" t="s">
        <v>35</v>
      </c>
      <c r="D88" t="s">
        <v>77</v>
      </c>
      <c r="E88" t="s">
        <v>108</v>
      </c>
      <c r="F88">
        <v>13</v>
      </c>
      <c r="G88">
        <v>3</v>
      </c>
    </row>
    <row r="89" spans="1:7" x14ac:dyDescent="0.3">
      <c r="A89" t="s">
        <v>248</v>
      </c>
      <c r="B89" t="s">
        <v>152</v>
      </c>
      <c r="C89" t="s">
        <v>17</v>
      </c>
      <c r="D89" t="s">
        <v>66</v>
      </c>
      <c r="E89" t="s">
        <v>108</v>
      </c>
      <c r="F89">
        <v>9</v>
      </c>
      <c r="G89">
        <v>55</v>
      </c>
    </row>
    <row r="90" spans="1:7" x14ac:dyDescent="0.3">
      <c r="A90" t="s">
        <v>249</v>
      </c>
      <c r="B90" t="s">
        <v>164</v>
      </c>
      <c r="C90" t="s">
        <v>47</v>
      </c>
      <c r="D90" t="s">
        <v>85</v>
      </c>
      <c r="E90" t="s">
        <v>111</v>
      </c>
      <c r="F90">
        <v>19</v>
      </c>
      <c r="G90">
        <v>138</v>
      </c>
    </row>
    <row r="91" spans="1:7" x14ac:dyDescent="0.3">
      <c r="A91" t="s">
        <v>250</v>
      </c>
      <c r="B91" t="s">
        <v>216</v>
      </c>
      <c r="C91" t="s">
        <v>47</v>
      </c>
      <c r="D91" t="s">
        <v>85</v>
      </c>
      <c r="E91" t="s">
        <v>108</v>
      </c>
      <c r="F91">
        <v>14</v>
      </c>
      <c r="G91">
        <v>105</v>
      </c>
    </row>
    <row r="92" spans="1:7" x14ac:dyDescent="0.3">
      <c r="A92" t="s">
        <v>251</v>
      </c>
      <c r="B92" t="s">
        <v>191</v>
      </c>
      <c r="C92" t="s">
        <v>24</v>
      </c>
      <c r="D92" t="s">
        <v>72</v>
      </c>
      <c r="E92" t="s">
        <v>111</v>
      </c>
      <c r="F92">
        <v>16</v>
      </c>
      <c r="G92">
        <v>139</v>
      </c>
    </row>
    <row r="93" spans="1:7" x14ac:dyDescent="0.3">
      <c r="A93" t="s">
        <v>252</v>
      </c>
      <c r="B93" t="s">
        <v>253</v>
      </c>
      <c r="C93" t="s">
        <v>29</v>
      </c>
      <c r="D93" t="s">
        <v>60</v>
      </c>
      <c r="E93" t="s">
        <v>111</v>
      </c>
      <c r="F93">
        <v>2</v>
      </c>
      <c r="G93">
        <v>43</v>
      </c>
    </row>
    <row r="94" spans="1:7" x14ac:dyDescent="0.3">
      <c r="A94" t="s">
        <v>254</v>
      </c>
      <c r="B94" t="s">
        <v>199</v>
      </c>
      <c r="C94" t="s">
        <v>55</v>
      </c>
      <c r="D94" t="s">
        <v>88</v>
      </c>
      <c r="E94" t="s">
        <v>108</v>
      </c>
      <c r="F94">
        <v>12</v>
      </c>
      <c r="G94">
        <v>118</v>
      </c>
    </row>
    <row r="95" spans="1:7" x14ac:dyDescent="0.3">
      <c r="A95" t="s">
        <v>255</v>
      </c>
      <c r="B95" t="s">
        <v>256</v>
      </c>
      <c r="C95" t="s">
        <v>56</v>
      </c>
      <c r="D95" t="s">
        <v>58</v>
      </c>
      <c r="E95" t="s">
        <v>111</v>
      </c>
      <c r="F95">
        <v>9</v>
      </c>
      <c r="G95">
        <v>118</v>
      </c>
    </row>
    <row r="96" spans="1:7" x14ac:dyDescent="0.3">
      <c r="A96" t="s">
        <v>257</v>
      </c>
      <c r="B96" t="s">
        <v>258</v>
      </c>
      <c r="C96" t="s">
        <v>57</v>
      </c>
      <c r="D96" t="s">
        <v>66</v>
      </c>
      <c r="E96" t="s">
        <v>108</v>
      </c>
      <c r="F96">
        <v>2</v>
      </c>
      <c r="G96">
        <v>32</v>
      </c>
    </row>
    <row r="97" spans="1:7" x14ac:dyDescent="0.3">
      <c r="A97" t="s">
        <v>259</v>
      </c>
      <c r="B97" t="s">
        <v>195</v>
      </c>
      <c r="C97" t="s">
        <v>46</v>
      </c>
      <c r="D97" t="s">
        <v>73</v>
      </c>
      <c r="E97" t="s">
        <v>111</v>
      </c>
      <c r="F97">
        <v>8</v>
      </c>
      <c r="G97">
        <v>146</v>
      </c>
    </row>
    <row r="98" spans="1:7" x14ac:dyDescent="0.3">
      <c r="A98" t="s">
        <v>260</v>
      </c>
      <c r="B98" t="s">
        <v>261</v>
      </c>
      <c r="C98" t="s">
        <v>48</v>
      </c>
      <c r="D98" t="s">
        <v>77</v>
      </c>
      <c r="E98" t="s">
        <v>108</v>
      </c>
      <c r="F98">
        <v>20</v>
      </c>
      <c r="G98">
        <v>28</v>
      </c>
    </row>
    <row r="99" spans="1:7" x14ac:dyDescent="0.3">
      <c r="A99" t="s">
        <v>262</v>
      </c>
      <c r="B99" t="s">
        <v>180</v>
      </c>
      <c r="C99" t="s">
        <v>40</v>
      </c>
      <c r="D99" t="s">
        <v>79</v>
      </c>
      <c r="E99" t="s">
        <v>108</v>
      </c>
      <c r="F99">
        <v>7</v>
      </c>
      <c r="G99">
        <v>67</v>
      </c>
    </row>
    <row r="100" spans="1:7" x14ac:dyDescent="0.3">
      <c r="A100" t="s">
        <v>263</v>
      </c>
      <c r="B100" t="s">
        <v>264</v>
      </c>
      <c r="C100" t="s">
        <v>32</v>
      </c>
      <c r="D100" t="s">
        <v>75</v>
      </c>
      <c r="E100" t="s">
        <v>108</v>
      </c>
      <c r="F100">
        <v>17</v>
      </c>
      <c r="G100">
        <v>93</v>
      </c>
    </row>
    <row r="101" spans="1:7" x14ac:dyDescent="0.3">
      <c r="A101" t="s">
        <v>265</v>
      </c>
      <c r="B101" t="s">
        <v>164</v>
      </c>
      <c r="C101" t="s">
        <v>25</v>
      </c>
      <c r="D101" t="s">
        <v>67</v>
      </c>
      <c r="E101" t="s">
        <v>108</v>
      </c>
      <c r="F101">
        <v>12</v>
      </c>
      <c r="G101">
        <v>129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F7E10-6003-46D2-B838-98E290726F9D}">
  <sheetPr codeName="Sheet4"/>
  <dimension ref="A1:G11"/>
  <sheetViews>
    <sheetView workbookViewId="0">
      <selection activeCell="C7" sqref="C7"/>
    </sheetView>
  </sheetViews>
  <sheetFormatPr defaultRowHeight="14.4" x14ac:dyDescent="0.3"/>
  <cols>
    <col min="1" max="1" width="14.5546875" bestFit="1" customWidth="1"/>
    <col min="2" max="2" width="17.88671875" bestFit="1" customWidth="1"/>
    <col min="3" max="3" width="18.44140625" bestFit="1" customWidth="1"/>
    <col min="4" max="4" width="25.44140625" bestFit="1" customWidth="1"/>
    <col min="5" max="5" width="18.33203125" bestFit="1" customWidth="1"/>
    <col min="6" max="6" width="18.88671875" bestFit="1" customWidth="1"/>
    <col min="7" max="7" width="25.6640625" bestFit="1" customWidth="1"/>
  </cols>
  <sheetData>
    <row r="1" spans="1:7" x14ac:dyDescent="0.3">
      <c r="A1" s="1" t="s">
        <v>267</v>
      </c>
      <c r="B1" s="1" t="s">
        <v>268</v>
      </c>
      <c r="C1" s="1" t="s">
        <v>269</v>
      </c>
      <c r="D1" s="1" t="s">
        <v>270</v>
      </c>
      <c r="E1" s="1" t="s">
        <v>271</v>
      </c>
      <c r="F1" s="1" t="s">
        <v>272</v>
      </c>
      <c r="G1" s="1" t="s">
        <v>273</v>
      </c>
    </row>
    <row r="2" spans="1:7" x14ac:dyDescent="0.3">
      <c r="A2" t="s">
        <v>274</v>
      </c>
      <c r="B2" t="s">
        <v>96</v>
      </c>
      <c r="C2" t="s">
        <v>275</v>
      </c>
      <c r="D2" t="s">
        <v>276</v>
      </c>
      <c r="E2" t="s">
        <v>277</v>
      </c>
      <c r="F2" t="s">
        <v>278</v>
      </c>
      <c r="G2">
        <v>4</v>
      </c>
    </row>
    <row r="3" spans="1:7" x14ac:dyDescent="0.3">
      <c r="A3" t="s">
        <v>279</v>
      </c>
      <c r="B3" t="s">
        <v>100</v>
      </c>
      <c r="C3" t="s">
        <v>280</v>
      </c>
      <c r="D3" t="s">
        <v>281</v>
      </c>
      <c r="E3" t="s">
        <v>282</v>
      </c>
      <c r="F3" t="s">
        <v>283</v>
      </c>
      <c r="G3">
        <v>9</v>
      </c>
    </row>
    <row r="4" spans="1:7" x14ac:dyDescent="0.3">
      <c r="A4" t="s">
        <v>284</v>
      </c>
      <c r="B4" t="s">
        <v>97</v>
      </c>
      <c r="C4" t="s">
        <v>285</v>
      </c>
      <c r="D4" t="s">
        <v>286</v>
      </c>
      <c r="E4" t="s">
        <v>287</v>
      </c>
      <c r="F4" t="s">
        <v>288</v>
      </c>
      <c r="G4">
        <v>14</v>
      </c>
    </row>
    <row r="5" spans="1:7" x14ac:dyDescent="0.3">
      <c r="A5" t="s">
        <v>289</v>
      </c>
      <c r="B5" t="s">
        <v>94</v>
      </c>
      <c r="C5" t="s">
        <v>290</v>
      </c>
      <c r="D5" t="s">
        <v>291</v>
      </c>
      <c r="E5" t="s">
        <v>292</v>
      </c>
      <c r="F5" t="s">
        <v>293</v>
      </c>
      <c r="G5">
        <v>15</v>
      </c>
    </row>
    <row r="6" spans="1:7" x14ac:dyDescent="0.3">
      <c r="A6" t="s">
        <v>294</v>
      </c>
      <c r="B6" t="s">
        <v>98</v>
      </c>
      <c r="C6" t="s">
        <v>295</v>
      </c>
      <c r="D6" t="s">
        <v>296</v>
      </c>
      <c r="E6" t="s">
        <v>297</v>
      </c>
      <c r="F6" t="s">
        <v>298</v>
      </c>
      <c r="G6">
        <v>8</v>
      </c>
    </row>
    <row r="7" spans="1:7" x14ac:dyDescent="0.3">
      <c r="A7" t="s">
        <v>299</v>
      </c>
      <c r="B7" t="s">
        <v>99</v>
      </c>
      <c r="C7" t="s">
        <v>300</v>
      </c>
      <c r="D7" t="s">
        <v>301</v>
      </c>
      <c r="E7" t="s">
        <v>302</v>
      </c>
      <c r="F7" t="s">
        <v>303</v>
      </c>
      <c r="G7">
        <v>9</v>
      </c>
    </row>
    <row r="8" spans="1:7" x14ac:dyDescent="0.3">
      <c r="A8" t="s">
        <v>304</v>
      </c>
      <c r="B8" t="s">
        <v>95</v>
      </c>
      <c r="C8" t="s">
        <v>305</v>
      </c>
      <c r="D8" t="s">
        <v>306</v>
      </c>
      <c r="E8" t="s">
        <v>307</v>
      </c>
      <c r="F8" t="s">
        <v>308</v>
      </c>
      <c r="G8">
        <v>8</v>
      </c>
    </row>
    <row r="9" spans="1:7" x14ac:dyDescent="0.3">
      <c r="A9" t="s">
        <v>309</v>
      </c>
      <c r="B9" t="s">
        <v>310</v>
      </c>
      <c r="C9" t="s">
        <v>311</v>
      </c>
      <c r="D9" t="s">
        <v>312</v>
      </c>
      <c r="E9" t="s">
        <v>313</v>
      </c>
      <c r="F9" t="s">
        <v>314</v>
      </c>
      <c r="G9">
        <v>9</v>
      </c>
    </row>
    <row r="10" spans="1:7" x14ac:dyDescent="0.3">
      <c r="A10" t="s">
        <v>315</v>
      </c>
      <c r="B10" t="s">
        <v>316</v>
      </c>
      <c r="C10" t="s">
        <v>317</v>
      </c>
      <c r="D10" t="s">
        <v>318</v>
      </c>
      <c r="E10" t="s">
        <v>319</v>
      </c>
      <c r="F10" t="s">
        <v>320</v>
      </c>
      <c r="G10">
        <v>7</v>
      </c>
    </row>
    <row r="11" spans="1:7" x14ac:dyDescent="0.3">
      <c r="A11" t="s">
        <v>321</v>
      </c>
      <c r="B11" t="s">
        <v>322</v>
      </c>
      <c r="C11" t="s">
        <v>323</v>
      </c>
      <c r="D11" t="s">
        <v>324</v>
      </c>
      <c r="E11" t="s">
        <v>325</v>
      </c>
      <c r="F11" t="s">
        <v>326</v>
      </c>
      <c r="G11">
        <v>13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9A071-29C7-48FC-9BD0-0BCB11A68DE0}">
  <sheetPr codeName="Sheet5"/>
  <dimension ref="A1:I101"/>
  <sheetViews>
    <sheetView workbookViewId="0">
      <selection activeCell="L16" sqref="L16"/>
    </sheetView>
  </sheetViews>
  <sheetFormatPr defaultRowHeight="14.4" x14ac:dyDescent="0.3"/>
  <cols>
    <col min="1" max="1" width="19.88671875" bestFit="1" customWidth="1"/>
    <col min="2" max="2" width="15.5546875" bestFit="1" customWidth="1"/>
    <col min="3" max="3" width="14.33203125" bestFit="1" customWidth="1"/>
    <col min="4" max="4" width="18.77734375" bestFit="1" customWidth="1"/>
    <col min="5" max="5" width="13" bestFit="1" customWidth="1"/>
    <col min="6" max="6" width="13" customWidth="1"/>
    <col min="7" max="7" width="16.88671875" bestFit="1" customWidth="1"/>
    <col min="8" max="8" width="18.33203125" bestFit="1" customWidth="1"/>
    <col min="9" max="9" width="17.109375" bestFit="1" customWidth="1"/>
    <col min="11" max="11" width="13.88671875" bestFit="1" customWidth="1"/>
  </cols>
  <sheetData>
    <row r="1" spans="1:9" x14ac:dyDescent="0.3">
      <c r="A1" s="1" t="s">
        <v>327</v>
      </c>
      <c r="B1" s="1" t="s">
        <v>371</v>
      </c>
      <c r="C1" s="1" t="s">
        <v>0</v>
      </c>
      <c r="D1" s="1" t="s">
        <v>1</v>
      </c>
      <c r="E1" s="1" t="s">
        <v>2</v>
      </c>
      <c r="F1" s="1" t="s">
        <v>3</v>
      </c>
      <c r="G1" s="1" t="s">
        <v>328</v>
      </c>
      <c r="H1" s="4" t="s">
        <v>5</v>
      </c>
      <c r="I1" s="4" t="s">
        <v>329</v>
      </c>
    </row>
    <row r="2" spans="1:9" x14ac:dyDescent="0.3">
      <c r="A2" s="8" t="s">
        <v>127</v>
      </c>
      <c r="B2" s="8" t="s">
        <v>372</v>
      </c>
      <c r="C2" t="s">
        <v>34</v>
      </c>
      <c r="D2" t="s">
        <v>75</v>
      </c>
      <c r="E2" t="str">
        <f>_xlfn.XLOOKUP(SalesSummaryTable[[#This Row],[Product ID]], InventoryTable[Product ID], InventoryTable[Category])</f>
        <v>Office Supplies</v>
      </c>
      <c r="F2" t="str">
        <f>_xlfn.XLOOKUP(SalesSummaryTable[[#This Row],[Product ID]], InventoryTable[Product ID], InventoryTable[Supplier])</f>
        <v>Gadgets Ltd</v>
      </c>
      <c r="G2">
        <v>3</v>
      </c>
      <c r="H2" s="5">
        <f>_xlfn.XLOOKUP(SalesSummaryTable[[#This Row],[Product ID]], InventoryTable[Product ID], InventoryTable[Selling Price (€)])</f>
        <v>395.15</v>
      </c>
      <c r="I2" s="2">
        <f t="shared" ref="I2:I33" si="0">G2*H2</f>
        <v>1185.4499999999998</v>
      </c>
    </row>
    <row r="3" spans="1:9" x14ac:dyDescent="0.3">
      <c r="A3" s="8" t="s">
        <v>330</v>
      </c>
      <c r="B3" s="8" t="s">
        <v>373</v>
      </c>
      <c r="C3" t="s">
        <v>49</v>
      </c>
      <c r="D3" t="s">
        <v>81</v>
      </c>
      <c r="E3" t="str">
        <f>_xlfn.XLOOKUP(SalesSummaryTable[[#This Row],[Product ID]], InventoryTable[Product ID], InventoryTable[Category])</f>
        <v>Networking</v>
      </c>
      <c r="F3" t="str">
        <f>_xlfn.XLOOKUP(SalesSummaryTable[[#This Row],[Product ID]], InventoryTable[Product ID], InventoryTable[Supplier])</f>
        <v>StoragePro</v>
      </c>
      <c r="G3">
        <v>5</v>
      </c>
      <c r="H3" s="5">
        <f>_xlfn.XLOOKUP(SalesSummaryTable[[#This Row],[Product ID]], InventoryTable[Product ID], InventoryTable[Selling Price (€)])</f>
        <v>926.57</v>
      </c>
      <c r="I3" s="2">
        <f t="shared" si="0"/>
        <v>4632.8500000000004</v>
      </c>
    </row>
    <row r="4" spans="1:9" x14ac:dyDescent="0.3">
      <c r="A4" s="8" t="s">
        <v>221</v>
      </c>
      <c r="B4" s="8" t="s">
        <v>372</v>
      </c>
      <c r="C4" t="s">
        <v>15</v>
      </c>
      <c r="D4" t="s">
        <v>83</v>
      </c>
      <c r="E4" t="str">
        <f>_xlfn.XLOOKUP(SalesSummaryTable[[#This Row],[Product ID]], InventoryTable[Product ID], InventoryTable[Category])</f>
        <v>Office Supplies</v>
      </c>
      <c r="F4" t="str">
        <f>_xlfn.XLOOKUP(SalesSummaryTable[[#This Row],[Product ID]], InventoryTable[Product ID], InventoryTable[Supplier])</f>
        <v>TechCorp</v>
      </c>
      <c r="G4">
        <v>2</v>
      </c>
      <c r="H4" s="5">
        <f>_xlfn.XLOOKUP(SalesSummaryTable[[#This Row],[Product ID]], InventoryTable[Product ID], InventoryTable[Selling Price (€)])</f>
        <v>307.95</v>
      </c>
      <c r="I4" s="2">
        <f t="shared" si="0"/>
        <v>615.9</v>
      </c>
    </row>
    <row r="5" spans="1:9" x14ac:dyDescent="0.3">
      <c r="A5" s="8" t="s">
        <v>239</v>
      </c>
      <c r="B5" s="8" t="s">
        <v>374</v>
      </c>
      <c r="C5" t="s">
        <v>23</v>
      </c>
      <c r="D5" t="s">
        <v>331</v>
      </c>
      <c r="E5" t="str">
        <f>_xlfn.XLOOKUP(SalesSummaryTable[[#This Row],[Product ID]], InventoryTable[Product ID], InventoryTable[Category])</f>
        <v>Electronics</v>
      </c>
      <c r="F5" t="str">
        <f>_xlfn.XLOOKUP(SalesSummaryTable[[#This Row],[Product ID]], InventoryTable[Product ID], InventoryTable[Supplier])</f>
        <v>StoragePro</v>
      </c>
      <c r="G5">
        <v>4</v>
      </c>
      <c r="H5" s="5">
        <f>_xlfn.XLOOKUP(SalesSummaryTable[[#This Row],[Product ID]], InventoryTable[Product ID], InventoryTable[Selling Price (€)])</f>
        <v>278.7</v>
      </c>
      <c r="I5" s="2">
        <f t="shared" si="0"/>
        <v>1114.8</v>
      </c>
    </row>
    <row r="6" spans="1:9" x14ac:dyDescent="0.3">
      <c r="A6" s="8" t="s">
        <v>332</v>
      </c>
      <c r="B6" s="8" t="s">
        <v>372</v>
      </c>
      <c r="C6" t="s">
        <v>56</v>
      </c>
      <c r="D6" t="s">
        <v>77</v>
      </c>
      <c r="E6" t="str">
        <f>_xlfn.XLOOKUP(SalesSummaryTable[[#This Row],[Product ID]], InventoryTable[Product ID], InventoryTable[Category])</f>
        <v>Accessories</v>
      </c>
      <c r="F6" t="str">
        <f>_xlfn.XLOOKUP(SalesSummaryTable[[#This Row],[Product ID]], InventoryTable[Product ID], InventoryTable[Supplier])</f>
        <v>StoragePro</v>
      </c>
      <c r="G6">
        <v>5</v>
      </c>
      <c r="H6" s="5">
        <f>_xlfn.XLOOKUP(SalesSummaryTable[[#This Row],[Product ID]], InventoryTable[Product ID], InventoryTable[Selling Price (€)])</f>
        <v>968.59</v>
      </c>
      <c r="I6" s="2">
        <f t="shared" si="0"/>
        <v>4842.95</v>
      </c>
    </row>
    <row r="7" spans="1:9" x14ac:dyDescent="0.3">
      <c r="A7" s="8" t="s">
        <v>333</v>
      </c>
      <c r="B7" s="8" t="s">
        <v>373</v>
      </c>
      <c r="C7" t="s">
        <v>23</v>
      </c>
      <c r="D7" t="s">
        <v>331</v>
      </c>
      <c r="E7" t="str">
        <f>_xlfn.XLOOKUP(SalesSummaryTable[[#This Row],[Product ID]], InventoryTable[Product ID], InventoryTable[Category])</f>
        <v>Electronics</v>
      </c>
      <c r="F7" t="str">
        <f>_xlfn.XLOOKUP(SalesSummaryTable[[#This Row],[Product ID]], InventoryTable[Product ID], InventoryTable[Supplier])</f>
        <v>StoragePro</v>
      </c>
      <c r="G7">
        <v>1</v>
      </c>
      <c r="H7" s="5">
        <f>_xlfn.XLOOKUP(SalesSummaryTable[[#This Row],[Product ID]], InventoryTable[Product ID], InventoryTable[Selling Price (€)])</f>
        <v>278.7</v>
      </c>
      <c r="I7" s="2">
        <f t="shared" si="0"/>
        <v>278.7</v>
      </c>
    </row>
    <row r="8" spans="1:9" x14ac:dyDescent="0.3">
      <c r="A8" s="8" t="s">
        <v>334</v>
      </c>
      <c r="B8" s="8" t="s">
        <v>372</v>
      </c>
      <c r="C8" t="s">
        <v>12</v>
      </c>
      <c r="D8" t="s">
        <v>335</v>
      </c>
      <c r="E8" t="str">
        <f>_xlfn.XLOOKUP(SalesSummaryTable[[#This Row],[Product ID]], InventoryTable[Product ID], InventoryTable[Category])</f>
        <v>Networking</v>
      </c>
      <c r="F8" t="str">
        <f>_xlfn.XLOOKUP(SalesSummaryTable[[#This Row],[Product ID]], InventoryTable[Product ID], InventoryTable[Supplier])</f>
        <v>Office Essentials</v>
      </c>
      <c r="G8">
        <v>2</v>
      </c>
      <c r="H8" s="5">
        <f>_xlfn.XLOOKUP(SalesSummaryTable[[#This Row],[Product ID]], InventoryTable[Product ID], InventoryTable[Selling Price (€)])</f>
        <v>442.21</v>
      </c>
      <c r="I8" s="2">
        <f t="shared" si="0"/>
        <v>884.42</v>
      </c>
    </row>
    <row r="9" spans="1:9" x14ac:dyDescent="0.3">
      <c r="A9" s="8" t="s">
        <v>164</v>
      </c>
      <c r="B9" s="8" t="s">
        <v>374</v>
      </c>
      <c r="C9" t="s">
        <v>9</v>
      </c>
      <c r="D9" t="s">
        <v>71</v>
      </c>
      <c r="E9" t="str">
        <f>_xlfn.XLOOKUP(SalesSummaryTable[[#This Row],[Product ID]], InventoryTable[Product ID], InventoryTable[Category])</f>
        <v>Electronics</v>
      </c>
      <c r="F9" t="str">
        <f>_xlfn.XLOOKUP(SalesSummaryTable[[#This Row],[Product ID]], InventoryTable[Product ID], InventoryTable[Supplier])</f>
        <v>Office Essentials</v>
      </c>
      <c r="G9">
        <v>8</v>
      </c>
      <c r="H9" s="5">
        <f>_xlfn.XLOOKUP(SalesSummaryTable[[#This Row],[Product ID]], InventoryTable[Product ID], InventoryTable[Selling Price (€)])</f>
        <v>508.96</v>
      </c>
      <c r="I9" s="2">
        <f t="shared" si="0"/>
        <v>4071.68</v>
      </c>
    </row>
    <row r="10" spans="1:9" x14ac:dyDescent="0.3">
      <c r="A10" s="8" t="s">
        <v>264</v>
      </c>
      <c r="B10" s="8" t="s">
        <v>372</v>
      </c>
      <c r="C10" t="s">
        <v>32</v>
      </c>
      <c r="D10" t="s">
        <v>75</v>
      </c>
      <c r="E10" t="str">
        <f>_xlfn.XLOOKUP(SalesSummaryTable[[#This Row],[Product ID]], InventoryTable[Product ID], InventoryTable[Category])</f>
        <v>Storage</v>
      </c>
      <c r="F10" t="str">
        <f>_xlfn.XLOOKUP(SalesSummaryTable[[#This Row],[Product ID]], InventoryTable[Product ID], InventoryTable[Supplier])</f>
        <v>Print Solutions</v>
      </c>
      <c r="G10">
        <v>10</v>
      </c>
      <c r="H10" s="5">
        <f>_xlfn.XLOOKUP(SalesSummaryTable[[#This Row],[Product ID]], InventoryTable[Product ID], InventoryTable[Selling Price (€)])</f>
        <v>363.47</v>
      </c>
      <c r="I10" s="2">
        <f t="shared" si="0"/>
        <v>3634.7000000000003</v>
      </c>
    </row>
    <row r="11" spans="1:9" x14ac:dyDescent="0.3">
      <c r="A11" s="8" t="s">
        <v>258</v>
      </c>
      <c r="B11" s="8" t="s">
        <v>374</v>
      </c>
      <c r="C11" t="s">
        <v>49</v>
      </c>
      <c r="D11" t="s">
        <v>81</v>
      </c>
      <c r="E11" t="str">
        <f>_xlfn.XLOOKUP(SalesSummaryTable[[#This Row],[Product ID]], InventoryTable[Product ID], InventoryTable[Category])</f>
        <v>Networking</v>
      </c>
      <c r="F11" t="str">
        <f>_xlfn.XLOOKUP(SalesSummaryTable[[#This Row],[Product ID]], InventoryTable[Product ID], InventoryTable[Supplier])</f>
        <v>StoragePro</v>
      </c>
      <c r="G11">
        <v>4</v>
      </c>
      <c r="H11" s="5">
        <f>_xlfn.XLOOKUP(SalesSummaryTable[[#This Row],[Product ID]], InventoryTable[Product ID], InventoryTable[Selling Price (€)])</f>
        <v>926.57</v>
      </c>
      <c r="I11" s="2">
        <f t="shared" si="0"/>
        <v>3706.28</v>
      </c>
    </row>
    <row r="12" spans="1:9" x14ac:dyDescent="0.3">
      <c r="A12" s="8" t="s">
        <v>336</v>
      </c>
      <c r="B12" s="8" t="s">
        <v>372</v>
      </c>
      <c r="C12" t="s">
        <v>39</v>
      </c>
      <c r="D12" t="s">
        <v>85</v>
      </c>
      <c r="E12" t="str">
        <f>_xlfn.XLOOKUP(SalesSummaryTable[[#This Row],[Product ID]], InventoryTable[Product ID], InventoryTable[Category])</f>
        <v>Accessories</v>
      </c>
      <c r="F12" t="str">
        <f>_xlfn.XLOOKUP(SalesSummaryTable[[#This Row],[Product ID]], InventoryTable[Product ID], InventoryTable[Supplier])</f>
        <v>Gadgets Ltd</v>
      </c>
      <c r="G12">
        <v>4</v>
      </c>
      <c r="H12" s="5">
        <f>_xlfn.XLOOKUP(SalesSummaryTable[[#This Row],[Product ID]], InventoryTable[Product ID], InventoryTable[Selling Price (€)])</f>
        <v>68.59</v>
      </c>
      <c r="I12" s="2">
        <f t="shared" si="0"/>
        <v>274.36</v>
      </c>
    </row>
    <row r="13" spans="1:9" x14ac:dyDescent="0.3">
      <c r="A13" s="8" t="s">
        <v>202</v>
      </c>
      <c r="B13" s="8" t="s">
        <v>374</v>
      </c>
      <c r="C13" t="s">
        <v>57</v>
      </c>
      <c r="D13" t="s">
        <v>78</v>
      </c>
      <c r="E13" t="str">
        <f>_xlfn.XLOOKUP(SalesSummaryTable[[#This Row],[Product ID]], InventoryTable[Product ID], InventoryTable[Category])</f>
        <v>Electronics</v>
      </c>
      <c r="F13" t="str">
        <f>_xlfn.XLOOKUP(SalesSummaryTable[[#This Row],[Product ID]], InventoryTable[Product ID], InventoryTable[Supplier])</f>
        <v>NetConnect</v>
      </c>
      <c r="G13">
        <v>4</v>
      </c>
      <c r="H13" s="5">
        <f>_xlfn.XLOOKUP(SalesSummaryTable[[#This Row],[Product ID]], InventoryTable[Product ID], InventoryTable[Selling Price (€)])</f>
        <v>538.09</v>
      </c>
      <c r="I13" s="2">
        <f t="shared" si="0"/>
        <v>2152.36</v>
      </c>
    </row>
    <row r="14" spans="1:9" x14ac:dyDescent="0.3">
      <c r="A14" s="8" t="s">
        <v>337</v>
      </c>
      <c r="B14" s="8" t="s">
        <v>374</v>
      </c>
      <c r="C14" t="s">
        <v>18</v>
      </c>
      <c r="D14" t="s">
        <v>70</v>
      </c>
      <c r="E14" t="str">
        <f>_xlfn.XLOOKUP(SalesSummaryTable[[#This Row],[Product ID]], InventoryTable[Product ID], InventoryTable[Category])</f>
        <v>Accessories</v>
      </c>
      <c r="F14" t="str">
        <f>_xlfn.XLOOKUP(SalesSummaryTable[[#This Row],[Product ID]], InventoryTable[Product ID], InventoryTable[Supplier])</f>
        <v>NetConnect</v>
      </c>
      <c r="G14">
        <v>4</v>
      </c>
      <c r="H14" s="5">
        <f>_xlfn.XLOOKUP(SalesSummaryTable[[#This Row],[Product ID]], InventoryTable[Product ID], InventoryTable[Selling Price (€)])</f>
        <v>196.2</v>
      </c>
      <c r="I14" s="2">
        <f t="shared" si="0"/>
        <v>784.8</v>
      </c>
    </row>
    <row r="15" spans="1:9" x14ac:dyDescent="0.3">
      <c r="A15" s="8" t="s">
        <v>123</v>
      </c>
      <c r="B15" s="8" t="s">
        <v>373</v>
      </c>
      <c r="C15" t="s">
        <v>51</v>
      </c>
      <c r="D15" t="s">
        <v>338</v>
      </c>
      <c r="E15" t="str">
        <f>_xlfn.XLOOKUP(SalesSummaryTable[[#This Row],[Product ID]], InventoryTable[Product ID], InventoryTable[Category])</f>
        <v>Networking</v>
      </c>
      <c r="F15" t="str">
        <f>_xlfn.XLOOKUP(SalesSummaryTable[[#This Row],[Product ID]], InventoryTable[Product ID], InventoryTable[Supplier])</f>
        <v>TechCorp</v>
      </c>
      <c r="G15">
        <v>1</v>
      </c>
      <c r="H15" s="5">
        <f>_xlfn.XLOOKUP(SalesSummaryTable[[#This Row],[Product ID]], InventoryTable[Product ID], InventoryTable[Selling Price (€)])</f>
        <v>316.54000000000002</v>
      </c>
      <c r="I15" s="2">
        <f t="shared" si="0"/>
        <v>316.54000000000002</v>
      </c>
    </row>
    <row r="16" spans="1:9" x14ac:dyDescent="0.3">
      <c r="A16" s="8" t="s">
        <v>244</v>
      </c>
      <c r="B16" s="8" t="s">
        <v>374</v>
      </c>
      <c r="C16" t="s">
        <v>17</v>
      </c>
      <c r="D16" t="s">
        <v>339</v>
      </c>
      <c r="E16" t="str">
        <f>_xlfn.XLOOKUP(SalesSummaryTable[[#This Row],[Product ID]], InventoryTable[Product ID], InventoryTable[Category])</f>
        <v>Storage</v>
      </c>
      <c r="F16" t="str">
        <f>_xlfn.XLOOKUP(SalesSummaryTable[[#This Row],[Product ID]], InventoryTable[Product ID], InventoryTable[Supplier])</f>
        <v>NetConnect</v>
      </c>
      <c r="G16">
        <v>8</v>
      </c>
      <c r="H16" s="5">
        <f>_xlfn.XLOOKUP(SalesSummaryTable[[#This Row],[Product ID]], InventoryTable[Product ID], InventoryTable[Selling Price (€)])</f>
        <v>132.94</v>
      </c>
      <c r="I16" s="2">
        <f t="shared" si="0"/>
        <v>1063.52</v>
      </c>
    </row>
    <row r="17" spans="1:9" x14ac:dyDescent="0.3">
      <c r="A17" s="8" t="s">
        <v>162</v>
      </c>
      <c r="B17" s="8" t="s">
        <v>374</v>
      </c>
      <c r="C17" t="s">
        <v>20</v>
      </c>
      <c r="D17" t="s">
        <v>340</v>
      </c>
      <c r="E17" t="str">
        <f>_xlfn.XLOOKUP(SalesSummaryTable[[#This Row],[Product ID]], InventoryTable[Product ID], InventoryTable[Category])</f>
        <v>Storage</v>
      </c>
      <c r="F17" t="str">
        <f>_xlfn.XLOOKUP(SalesSummaryTable[[#This Row],[Product ID]], InventoryTable[Product ID], InventoryTable[Supplier])</f>
        <v>TechCorp</v>
      </c>
      <c r="G17">
        <v>8</v>
      </c>
      <c r="H17" s="5">
        <f>_xlfn.XLOOKUP(SalesSummaryTable[[#This Row],[Product ID]], InventoryTable[Product ID], InventoryTable[Selling Price (€)])</f>
        <v>910.18</v>
      </c>
      <c r="I17" s="2">
        <f t="shared" si="0"/>
        <v>7281.44</v>
      </c>
    </row>
    <row r="18" spans="1:9" x14ac:dyDescent="0.3">
      <c r="A18" s="8" t="s">
        <v>119</v>
      </c>
      <c r="B18" s="8" t="s">
        <v>373</v>
      </c>
      <c r="C18" t="s">
        <v>42</v>
      </c>
      <c r="D18" t="s">
        <v>72</v>
      </c>
      <c r="E18" t="str">
        <f>_xlfn.XLOOKUP(SalesSummaryTable[[#This Row],[Product ID]], InventoryTable[Product ID], InventoryTable[Category])</f>
        <v>Office Supplies</v>
      </c>
      <c r="F18" t="str">
        <f>_xlfn.XLOOKUP(SalesSummaryTable[[#This Row],[Product ID]], InventoryTable[Product ID], InventoryTable[Supplier])</f>
        <v>StoragePro</v>
      </c>
      <c r="G18">
        <v>6</v>
      </c>
      <c r="H18" s="5">
        <f>_xlfn.XLOOKUP(SalesSummaryTable[[#This Row],[Product ID]], InventoryTable[Product ID], InventoryTable[Selling Price (€)])</f>
        <v>294.07</v>
      </c>
      <c r="I18" s="2">
        <f t="shared" si="0"/>
        <v>1764.42</v>
      </c>
    </row>
    <row r="19" spans="1:9" x14ac:dyDescent="0.3">
      <c r="A19" s="8" t="s">
        <v>155</v>
      </c>
      <c r="B19" s="8" t="s">
        <v>373</v>
      </c>
      <c r="C19" t="s">
        <v>9</v>
      </c>
      <c r="D19" t="s">
        <v>71</v>
      </c>
      <c r="E19" t="str">
        <f>_xlfn.XLOOKUP(SalesSummaryTable[[#This Row],[Product ID]], InventoryTable[Product ID], InventoryTable[Category])</f>
        <v>Electronics</v>
      </c>
      <c r="F19" t="str">
        <f>_xlfn.XLOOKUP(SalesSummaryTable[[#This Row],[Product ID]], InventoryTable[Product ID], InventoryTable[Supplier])</f>
        <v>Office Essentials</v>
      </c>
      <c r="G19">
        <v>8</v>
      </c>
      <c r="H19" s="5">
        <f>_xlfn.XLOOKUP(SalesSummaryTable[[#This Row],[Product ID]], InventoryTable[Product ID], InventoryTable[Selling Price (€)])</f>
        <v>508.96</v>
      </c>
      <c r="I19" s="2">
        <f t="shared" si="0"/>
        <v>4071.68</v>
      </c>
    </row>
    <row r="20" spans="1:9" x14ac:dyDescent="0.3">
      <c r="A20" s="8" t="s">
        <v>341</v>
      </c>
      <c r="B20" s="8" t="s">
        <v>373</v>
      </c>
      <c r="C20" t="s">
        <v>15</v>
      </c>
      <c r="D20" t="s">
        <v>83</v>
      </c>
      <c r="E20" t="str">
        <f>_xlfn.XLOOKUP(SalesSummaryTable[[#This Row],[Product ID]], InventoryTable[Product ID], InventoryTable[Category])</f>
        <v>Office Supplies</v>
      </c>
      <c r="F20" t="str">
        <f>_xlfn.XLOOKUP(SalesSummaryTable[[#This Row],[Product ID]], InventoryTable[Product ID], InventoryTable[Supplier])</f>
        <v>TechCorp</v>
      </c>
      <c r="G20">
        <v>1</v>
      </c>
      <c r="H20" s="5">
        <f>_xlfn.XLOOKUP(SalesSummaryTable[[#This Row],[Product ID]], InventoryTable[Product ID], InventoryTable[Selling Price (€)])</f>
        <v>307.95</v>
      </c>
      <c r="I20" s="2">
        <f t="shared" si="0"/>
        <v>307.95</v>
      </c>
    </row>
    <row r="21" spans="1:9" x14ac:dyDescent="0.3">
      <c r="A21" s="8" t="s">
        <v>133</v>
      </c>
      <c r="B21" s="8" t="s">
        <v>372</v>
      </c>
      <c r="C21" t="s">
        <v>45</v>
      </c>
      <c r="D21" t="s">
        <v>81</v>
      </c>
      <c r="E21" t="str">
        <f>_xlfn.XLOOKUP(SalesSummaryTable[[#This Row],[Product ID]], InventoryTable[Product ID], InventoryTable[Category])</f>
        <v>Networking</v>
      </c>
      <c r="F21" t="str">
        <f>_xlfn.XLOOKUP(SalesSummaryTable[[#This Row],[Product ID]], InventoryTable[Product ID], InventoryTable[Supplier])</f>
        <v>NetConnect</v>
      </c>
      <c r="G21">
        <v>10</v>
      </c>
      <c r="H21" s="5">
        <f>_xlfn.XLOOKUP(SalesSummaryTable[[#This Row],[Product ID]], InventoryTable[Product ID], InventoryTable[Selling Price (€)])</f>
        <v>353.79</v>
      </c>
      <c r="I21" s="2">
        <f t="shared" si="0"/>
        <v>3537.9</v>
      </c>
    </row>
    <row r="22" spans="1:9" x14ac:dyDescent="0.3">
      <c r="A22" s="8" t="s">
        <v>342</v>
      </c>
      <c r="B22" s="8" t="s">
        <v>372</v>
      </c>
      <c r="C22" t="s">
        <v>8</v>
      </c>
      <c r="D22" t="s">
        <v>70</v>
      </c>
      <c r="E22" t="str">
        <f>_xlfn.XLOOKUP(SalesSummaryTable[[#This Row],[Product ID]], InventoryTable[Product ID], InventoryTable[Category])</f>
        <v>Accessories</v>
      </c>
      <c r="F22" t="str">
        <f>_xlfn.XLOOKUP(SalesSummaryTable[[#This Row],[Product ID]], InventoryTable[Product ID], InventoryTable[Supplier])</f>
        <v>Print Solutions</v>
      </c>
      <c r="G22">
        <v>3</v>
      </c>
      <c r="H22" s="5">
        <f>_xlfn.XLOOKUP(SalesSummaryTable[[#This Row],[Product ID]], InventoryTable[Product ID], InventoryTable[Selling Price (€)])</f>
        <v>291.12</v>
      </c>
      <c r="I22" s="2">
        <f t="shared" si="0"/>
        <v>873.36</v>
      </c>
    </row>
    <row r="23" spans="1:9" x14ac:dyDescent="0.3">
      <c r="A23" s="8" t="s">
        <v>343</v>
      </c>
      <c r="B23" s="8" t="s">
        <v>374</v>
      </c>
      <c r="C23" t="s">
        <v>50</v>
      </c>
      <c r="D23" t="s">
        <v>331</v>
      </c>
      <c r="E23" t="str">
        <f>_xlfn.XLOOKUP(SalesSummaryTable[[#This Row],[Product ID]], InventoryTable[Product ID], InventoryTable[Category])</f>
        <v>Office Supplies</v>
      </c>
      <c r="F23" t="str">
        <f>_xlfn.XLOOKUP(SalesSummaryTable[[#This Row],[Product ID]], InventoryTable[Product ID], InventoryTable[Supplier])</f>
        <v>Print Solutions</v>
      </c>
      <c r="G23">
        <v>9</v>
      </c>
      <c r="H23" s="5">
        <f>_xlfn.XLOOKUP(SalesSummaryTable[[#This Row],[Product ID]], InventoryTable[Product ID], InventoryTable[Selling Price (€)])</f>
        <v>394.87</v>
      </c>
      <c r="I23" s="2">
        <f t="shared" si="0"/>
        <v>3553.83</v>
      </c>
    </row>
    <row r="24" spans="1:9" x14ac:dyDescent="0.3">
      <c r="A24" s="8" t="s">
        <v>234</v>
      </c>
      <c r="B24" s="8" t="s">
        <v>374</v>
      </c>
      <c r="C24" t="s">
        <v>40</v>
      </c>
      <c r="D24" t="s">
        <v>63</v>
      </c>
      <c r="E24" t="str">
        <f>_xlfn.XLOOKUP(SalesSummaryTable[[#This Row],[Product ID]], InventoryTable[Product ID], InventoryTable[Category])</f>
        <v>Accessories</v>
      </c>
      <c r="F24" t="str">
        <f>_xlfn.XLOOKUP(SalesSummaryTable[[#This Row],[Product ID]], InventoryTable[Product ID], InventoryTable[Supplier])</f>
        <v>Gadgets Ltd</v>
      </c>
      <c r="G24">
        <v>1</v>
      </c>
      <c r="H24" s="5">
        <f>_xlfn.XLOOKUP(SalesSummaryTable[[#This Row],[Product ID]], InventoryTable[Product ID], InventoryTable[Selling Price (€)])</f>
        <v>749.76</v>
      </c>
      <c r="I24" s="2">
        <f t="shared" si="0"/>
        <v>749.76</v>
      </c>
    </row>
    <row r="25" spans="1:9" x14ac:dyDescent="0.3">
      <c r="A25" s="8" t="s">
        <v>344</v>
      </c>
      <c r="B25" s="8" t="s">
        <v>372</v>
      </c>
      <c r="C25" t="s">
        <v>56</v>
      </c>
      <c r="D25" t="s">
        <v>77</v>
      </c>
      <c r="E25" t="str">
        <f>_xlfn.XLOOKUP(SalesSummaryTable[[#This Row],[Product ID]], InventoryTable[Product ID], InventoryTable[Category])</f>
        <v>Accessories</v>
      </c>
      <c r="F25" t="str">
        <f>_xlfn.XLOOKUP(SalesSummaryTable[[#This Row],[Product ID]], InventoryTable[Product ID], InventoryTable[Supplier])</f>
        <v>StoragePro</v>
      </c>
      <c r="G25">
        <v>7</v>
      </c>
      <c r="H25" s="5">
        <f>_xlfn.XLOOKUP(SalesSummaryTable[[#This Row],[Product ID]], InventoryTable[Product ID], InventoryTable[Selling Price (€)])</f>
        <v>968.59</v>
      </c>
      <c r="I25" s="2">
        <f t="shared" si="0"/>
        <v>6780.13</v>
      </c>
    </row>
    <row r="26" spans="1:9" x14ac:dyDescent="0.3">
      <c r="A26" s="8" t="s">
        <v>117</v>
      </c>
      <c r="B26" s="8" t="s">
        <v>372</v>
      </c>
      <c r="C26" t="s">
        <v>21</v>
      </c>
      <c r="D26" t="s">
        <v>345</v>
      </c>
      <c r="E26" t="str">
        <f>_xlfn.XLOOKUP(SalesSummaryTable[[#This Row],[Product ID]], InventoryTable[Product ID], InventoryTable[Category])</f>
        <v>Storage</v>
      </c>
      <c r="F26" t="str">
        <f>_xlfn.XLOOKUP(SalesSummaryTable[[#This Row],[Product ID]], InventoryTable[Product ID], InventoryTable[Supplier])</f>
        <v>NetConnect</v>
      </c>
      <c r="G26">
        <v>8</v>
      </c>
      <c r="H26" s="5">
        <f>_xlfn.XLOOKUP(SalesSummaryTable[[#This Row],[Product ID]], InventoryTable[Product ID], InventoryTable[Selling Price (€)])</f>
        <v>503.57</v>
      </c>
      <c r="I26" s="2">
        <f t="shared" si="0"/>
        <v>4028.56</v>
      </c>
    </row>
    <row r="27" spans="1:9" x14ac:dyDescent="0.3">
      <c r="A27" s="8" t="s">
        <v>137</v>
      </c>
      <c r="B27" s="8" t="s">
        <v>374</v>
      </c>
      <c r="C27" t="s">
        <v>37</v>
      </c>
      <c r="D27" t="s">
        <v>70</v>
      </c>
      <c r="E27" t="str">
        <f>_xlfn.XLOOKUP(SalesSummaryTable[[#This Row],[Product ID]], InventoryTable[Product ID], InventoryTable[Category])</f>
        <v>Networking</v>
      </c>
      <c r="F27" t="str">
        <f>_xlfn.XLOOKUP(SalesSummaryTable[[#This Row],[Product ID]], InventoryTable[Product ID], InventoryTable[Supplier])</f>
        <v>Gadgets Ltd</v>
      </c>
      <c r="G27">
        <v>10</v>
      </c>
      <c r="H27" s="5">
        <f>_xlfn.XLOOKUP(SalesSummaryTable[[#This Row],[Product ID]], InventoryTable[Product ID], InventoryTable[Selling Price (€)])</f>
        <v>677.73</v>
      </c>
      <c r="I27" s="2">
        <f t="shared" si="0"/>
        <v>6777.3</v>
      </c>
    </row>
    <row r="28" spans="1:9" x14ac:dyDescent="0.3">
      <c r="A28" s="8" t="s">
        <v>346</v>
      </c>
      <c r="B28" s="8" t="s">
        <v>374</v>
      </c>
      <c r="C28" t="s">
        <v>46</v>
      </c>
      <c r="D28" t="s">
        <v>347</v>
      </c>
      <c r="E28" t="str">
        <f>_xlfn.XLOOKUP(SalesSummaryTable[[#This Row],[Product ID]], InventoryTable[Product ID], InventoryTable[Category])</f>
        <v>Accessories</v>
      </c>
      <c r="F28" t="str">
        <f>_xlfn.XLOOKUP(SalesSummaryTable[[#This Row],[Product ID]], InventoryTable[Product ID], InventoryTable[Supplier])</f>
        <v>Gadgets Ltd</v>
      </c>
      <c r="G28">
        <v>1</v>
      </c>
      <c r="H28" s="5">
        <f>_xlfn.XLOOKUP(SalesSummaryTable[[#This Row],[Product ID]], InventoryTable[Product ID], InventoryTable[Selling Price (€)])</f>
        <v>364.76</v>
      </c>
      <c r="I28" s="2">
        <f t="shared" si="0"/>
        <v>364.76</v>
      </c>
    </row>
    <row r="29" spans="1:9" x14ac:dyDescent="0.3">
      <c r="A29" s="8" t="s">
        <v>155</v>
      </c>
      <c r="B29" s="8" t="s">
        <v>373</v>
      </c>
      <c r="C29" t="s">
        <v>23</v>
      </c>
      <c r="D29" t="s">
        <v>331</v>
      </c>
      <c r="E29" t="str">
        <f>_xlfn.XLOOKUP(SalesSummaryTable[[#This Row],[Product ID]], InventoryTable[Product ID], InventoryTable[Category])</f>
        <v>Electronics</v>
      </c>
      <c r="F29" t="str">
        <f>_xlfn.XLOOKUP(SalesSummaryTable[[#This Row],[Product ID]], InventoryTable[Product ID], InventoryTable[Supplier])</f>
        <v>StoragePro</v>
      </c>
      <c r="G29">
        <v>4</v>
      </c>
      <c r="H29" s="5">
        <f>_xlfn.XLOOKUP(SalesSummaryTable[[#This Row],[Product ID]], InventoryTable[Product ID], InventoryTable[Selling Price (€)])</f>
        <v>278.7</v>
      </c>
      <c r="I29" s="2">
        <f t="shared" si="0"/>
        <v>1114.8</v>
      </c>
    </row>
    <row r="30" spans="1:9" x14ac:dyDescent="0.3">
      <c r="A30" s="8" t="s">
        <v>239</v>
      </c>
      <c r="B30" s="8" t="s">
        <v>374</v>
      </c>
      <c r="C30" t="s">
        <v>28</v>
      </c>
      <c r="D30" t="s">
        <v>84</v>
      </c>
      <c r="E30" t="str">
        <f>_xlfn.XLOOKUP(SalesSummaryTable[[#This Row],[Product ID]], InventoryTable[Product ID], InventoryTable[Category])</f>
        <v>Electronics</v>
      </c>
      <c r="F30" t="str">
        <f>_xlfn.XLOOKUP(SalesSummaryTable[[#This Row],[Product ID]], InventoryTable[Product ID], InventoryTable[Supplier])</f>
        <v>StoragePro</v>
      </c>
      <c r="G30">
        <v>3</v>
      </c>
      <c r="H30" s="5">
        <f>_xlfn.XLOOKUP(SalesSummaryTable[[#This Row],[Product ID]], InventoryTable[Product ID], InventoryTable[Selling Price (€)])</f>
        <v>253.15</v>
      </c>
      <c r="I30" s="2">
        <f t="shared" si="0"/>
        <v>759.45</v>
      </c>
    </row>
    <row r="31" spans="1:9" x14ac:dyDescent="0.3">
      <c r="A31" s="8" t="s">
        <v>348</v>
      </c>
      <c r="B31" s="8" t="s">
        <v>374</v>
      </c>
      <c r="C31" t="s">
        <v>11</v>
      </c>
      <c r="D31" t="s">
        <v>349</v>
      </c>
      <c r="E31" t="str">
        <f>_xlfn.XLOOKUP(SalesSummaryTable[[#This Row],[Product ID]], InventoryTable[Product ID], InventoryTable[Category])</f>
        <v>Electronics</v>
      </c>
      <c r="F31" t="str">
        <f>_xlfn.XLOOKUP(SalesSummaryTable[[#This Row],[Product ID]], InventoryTable[Product ID], InventoryTable[Supplier])</f>
        <v>Display World</v>
      </c>
      <c r="G31">
        <v>6</v>
      </c>
      <c r="H31" s="5">
        <f>_xlfn.XLOOKUP(SalesSummaryTable[[#This Row],[Product ID]], InventoryTable[Product ID], InventoryTable[Selling Price (€)])</f>
        <v>269.74</v>
      </c>
      <c r="I31" s="2">
        <f t="shared" si="0"/>
        <v>1618.44</v>
      </c>
    </row>
    <row r="32" spans="1:9" x14ac:dyDescent="0.3">
      <c r="A32" s="8" t="s">
        <v>159</v>
      </c>
      <c r="B32" s="8" t="s">
        <v>372</v>
      </c>
      <c r="C32" t="s">
        <v>36</v>
      </c>
      <c r="D32" t="s">
        <v>350</v>
      </c>
      <c r="E32" t="str">
        <f>_xlfn.XLOOKUP(SalesSummaryTable[[#This Row],[Product ID]], InventoryTable[Product ID], InventoryTable[Category])</f>
        <v>Accessories</v>
      </c>
      <c r="F32" t="str">
        <f>_xlfn.XLOOKUP(SalesSummaryTable[[#This Row],[Product ID]], InventoryTable[Product ID], InventoryTable[Supplier])</f>
        <v>StoragePro</v>
      </c>
      <c r="G32">
        <v>2</v>
      </c>
      <c r="H32" s="5">
        <f>_xlfn.XLOOKUP(SalesSummaryTable[[#This Row],[Product ID]], InventoryTable[Product ID], InventoryTable[Selling Price (€)])</f>
        <v>372.11</v>
      </c>
      <c r="I32" s="2">
        <f t="shared" si="0"/>
        <v>744.22</v>
      </c>
    </row>
    <row r="33" spans="1:9" x14ac:dyDescent="0.3">
      <c r="A33" s="8" t="s">
        <v>204</v>
      </c>
      <c r="B33" s="8" t="s">
        <v>372</v>
      </c>
      <c r="C33" t="s">
        <v>9</v>
      </c>
      <c r="D33" t="s">
        <v>71</v>
      </c>
      <c r="E33" t="str">
        <f>_xlfn.XLOOKUP(SalesSummaryTable[[#This Row],[Product ID]], InventoryTable[Product ID], InventoryTable[Category])</f>
        <v>Electronics</v>
      </c>
      <c r="F33" t="str">
        <f>_xlfn.XLOOKUP(SalesSummaryTable[[#This Row],[Product ID]], InventoryTable[Product ID], InventoryTable[Supplier])</f>
        <v>Office Essentials</v>
      </c>
      <c r="G33">
        <v>4</v>
      </c>
      <c r="H33" s="5">
        <f>_xlfn.XLOOKUP(SalesSummaryTable[[#This Row],[Product ID]], InventoryTable[Product ID], InventoryTable[Selling Price (€)])</f>
        <v>508.96</v>
      </c>
      <c r="I33" s="2">
        <f t="shared" si="0"/>
        <v>2035.84</v>
      </c>
    </row>
    <row r="34" spans="1:9" x14ac:dyDescent="0.3">
      <c r="A34" s="8" t="s">
        <v>159</v>
      </c>
      <c r="B34" s="8" t="s">
        <v>372</v>
      </c>
      <c r="C34" t="s">
        <v>43</v>
      </c>
      <c r="D34" t="s">
        <v>88</v>
      </c>
      <c r="E34" t="str">
        <f>_xlfn.XLOOKUP(SalesSummaryTable[[#This Row],[Product ID]], InventoryTable[Product ID], InventoryTable[Category])</f>
        <v>Office Supplies</v>
      </c>
      <c r="F34" t="str">
        <f>_xlfn.XLOOKUP(SalesSummaryTable[[#This Row],[Product ID]], InventoryTable[Product ID], InventoryTable[Supplier])</f>
        <v>Gadgets Ltd</v>
      </c>
      <c r="G34">
        <v>10</v>
      </c>
      <c r="H34" s="5">
        <f>_xlfn.XLOOKUP(SalesSummaryTable[[#This Row],[Product ID]], InventoryTable[Product ID], InventoryTable[Selling Price (€)])</f>
        <v>1340.61</v>
      </c>
      <c r="I34" s="2">
        <f t="shared" ref="I34:I65" si="1">G34*H34</f>
        <v>13406.099999999999</v>
      </c>
    </row>
    <row r="35" spans="1:9" x14ac:dyDescent="0.3">
      <c r="A35" s="8" t="s">
        <v>218</v>
      </c>
      <c r="B35" s="8" t="s">
        <v>374</v>
      </c>
      <c r="C35" t="s">
        <v>57</v>
      </c>
      <c r="D35" t="s">
        <v>78</v>
      </c>
      <c r="E35" t="str">
        <f>_xlfn.XLOOKUP(SalesSummaryTable[[#This Row],[Product ID]], InventoryTable[Product ID], InventoryTable[Category])</f>
        <v>Electronics</v>
      </c>
      <c r="F35" t="str">
        <f>_xlfn.XLOOKUP(SalesSummaryTable[[#This Row],[Product ID]], InventoryTable[Product ID], InventoryTable[Supplier])</f>
        <v>NetConnect</v>
      </c>
      <c r="G35">
        <v>10</v>
      </c>
      <c r="H35" s="5">
        <f>_xlfn.XLOOKUP(SalesSummaryTable[[#This Row],[Product ID]], InventoryTable[Product ID], InventoryTable[Selling Price (€)])</f>
        <v>538.09</v>
      </c>
      <c r="I35" s="2">
        <f t="shared" si="1"/>
        <v>5380.9000000000005</v>
      </c>
    </row>
    <row r="36" spans="1:9" x14ac:dyDescent="0.3">
      <c r="A36" s="8" t="s">
        <v>185</v>
      </c>
      <c r="B36" s="8" t="s">
        <v>374</v>
      </c>
      <c r="C36" t="s">
        <v>15</v>
      </c>
      <c r="D36" t="s">
        <v>83</v>
      </c>
      <c r="E36" t="str">
        <f>_xlfn.XLOOKUP(SalesSummaryTable[[#This Row],[Product ID]], InventoryTable[Product ID], InventoryTable[Category])</f>
        <v>Office Supplies</v>
      </c>
      <c r="F36" t="str">
        <f>_xlfn.XLOOKUP(SalesSummaryTable[[#This Row],[Product ID]], InventoryTable[Product ID], InventoryTable[Supplier])</f>
        <v>TechCorp</v>
      </c>
      <c r="G36">
        <v>5</v>
      </c>
      <c r="H36" s="5">
        <f>_xlfn.XLOOKUP(SalesSummaryTable[[#This Row],[Product ID]], InventoryTable[Product ID], InventoryTable[Selling Price (€)])</f>
        <v>307.95</v>
      </c>
      <c r="I36" s="2">
        <f t="shared" si="1"/>
        <v>1539.75</v>
      </c>
    </row>
    <row r="37" spans="1:9" x14ac:dyDescent="0.3">
      <c r="A37" s="8" t="s">
        <v>333</v>
      </c>
      <c r="B37" s="8" t="s">
        <v>373</v>
      </c>
      <c r="C37" t="s">
        <v>18</v>
      </c>
      <c r="D37" t="s">
        <v>70</v>
      </c>
      <c r="E37" t="str">
        <f>_xlfn.XLOOKUP(SalesSummaryTable[[#This Row],[Product ID]], InventoryTable[Product ID], InventoryTable[Category])</f>
        <v>Accessories</v>
      </c>
      <c r="F37" t="str">
        <f>_xlfn.XLOOKUP(SalesSummaryTable[[#This Row],[Product ID]], InventoryTable[Product ID], InventoryTable[Supplier])</f>
        <v>NetConnect</v>
      </c>
      <c r="G37">
        <v>8</v>
      </c>
      <c r="H37" s="5">
        <f>_xlfn.XLOOKUP(SalesSummaryTable[[#This Row],[Product ID]], InventoryTable[Product ID], InventoryTable[Selling Price (€)])</f>
        <v>196.2</v>
      </c>
      <c r="I37" s="2">
        <f t="shared" si="1"/>
        <v>1569.6</v>
      </c>
    </row>
    <row r="38" spans="1:9" x14ac:dyDescent="0.3">
      <c r="A38" s="8" t="s">
        <v>351</v>
      </c>
      <c r="B38" s="8" t="s">
        <v>372</v>
      </c>
      <c r="C38" t="s">
        <v>41</v>
      </c>
      <c r="D38" t="s">
        <v>59</v>
      </c>
      <c r="E38" t="str">
        <f>_xlfn.XLOOKUP(SalesSummaryTable[[#This Row],[Product ID]], InventoryTable[Product ID], InventoryTable[Category])</f>
        <v>Office Supplies</v>
      </c>
      <c r="F38" t="str">
        <f>_xlfn.XLOOKUP(SalesSummaryTable[[#This Row],[Product ID]], InventoryTable[Product ID], InventoryTable[Supplier])</f>
        <v>Gadgets Ltd</v>
      </c>
      <c r="G38">
        <v>1</v>
      </c>
      <c r="H38" s="5">
        <f>_xlfn.XLOOKUP(SalesSummaryTable[[#This Row],[Product ID]], InventoryTable[Product ID], InventoryTable[Selling Price (€)])</f>
        <v>302.31</v>
      </c>
      <c r="I38" s="2">
        <f t="shared" si="1"/>
        <v>302.31</v>
      </c>
    </row>
    <row r="39" spans="1:9" x14ac:dyDescent="0.3">
      <c r="A39" s="8" t="s">
        <v>113</v>
      </c>
      <c r="B39" s="8" t="s">
        <v>373</v>
      </c>
      <c r="C39" t="s">
        <v>34</v>
      </c>
      <c r="D39" t="s">
        <v>75</v>
      </c>
      <c r="E39" t="str">
        <f>_xlfn.XLOOKUP(SalesSummaryTable[[#This Row],[Product ID]], InventoryTable[Product ID], InventoryTable[Category])</f>
        <v>Office Supplies</v>
      </c>
      <c r="F39" t="str">
        <f>_xlfn.XLOOKUP(SalesSummaryTable[[#This Row],[Product ID]], InventoryTable[Product ID], InventoryTable[Supplier])</f>
        <v>Gadgets Ltd</v>
      </c>
      <c r="G39">
        <v>4</v>
      </c>
      <c r="H39" s="5">
        <f>_xlfn.XLOOKUP(SalesSummaryTable[[#This Row],[Product ID]], InventoryTable[Product ID], InventoryTable[Selling Price (€)])</f>
        <v>395.15</v>
      </c>
      <c r="I39" s="2">
        <f t="shared" si="1"/>
        <v>1580.6</v>
      </c>
    </row>
    <row r="40" spans="1:9" x14ac:dyDescent="0.3">
      <c r="A40" s="8" t="s">
        <v>191</v>
      </c>
      <c r="B40" s="8" t="s">
        <v>373</v>
      </c>
      <c r="C40" t="s">
        <v>40</v>
      </c>
      <c r="D40" t="s">
        <v>63</v>
      </c>
      <c r="E40" t="str">
        <f>_xlfn.XLOOKUP(SalesSummaryTable[[#This Row],[Product ID]], InventoryTable[Product ID], InventoryTable[Category])</f>
        <v>Accessories</v>
      </c>
      <c r="F40" t="str">
        <f>_xlfn.XLOOKUP(SalesSummaryTable[[#This Row],[Product ID]], InventoryTable[Product ID], InventoryTable[Supplier])</f>
        <v>Gadgets Ltd</v>
      </c>
      <c r="G40">
        <v>2</v>
      </c>
      <c r="H40" s="5">
        <f>_xlfn.XLOOKUP(SalesSummaryTable[[#This Row],[Product ID]], InventoryTable[Product ID], InventoryTable[Selling Price (€)])</f>
        <v>749.76</v>
      </c>
      <c r="I40" s="2">
        <f t="shared" si="1"/>
        <v>1499.52</v>
      </c>
    </row>
    <row r="41" spans="1:9" x14ac:dyDescent="0.3">
      <c r="A41" s="8" t="s">
        <v>202</v>
      </c>
      <c r="B41" s="8" t="s">
        <v>374</v>
      </c>
      <c r="C41" t="s">
        <v>37</v>
      </c>
      <c r="D41" t="s">
        <v>70</v>
      </c>
      <c r="E41" t="str">
        <f>_xlfn.XLOOKUP(SalesSummaryTable[[#This Row],[Product ID]], InventoryTable[Product ID], InventoryTable[Category])</f>
        <v>Networking</v>
      </c>
      <c r="F41" t="str">
        <f>_xlfn.XLOOKUP(SalesSummaryTable[[#This Row],[Product ID]], InventoryTable[Product ID], InventoryTable[Supplier])</f>
        <v>Gadgets Ltd</v>
      </c>
      <c r="G41">
        <v>6</v>
      </c>
      <c r="H41" s="5">
        <f>_xlfn.XLOOKUP(SalesSummaryTable[[#This Row],[Product ID]], InventoryTable[Product ID], InventoryTable[Selling Price (€)])</f>
        <v>677.73</v>
      </c>
      <c r="I41" s="2">
        <f t="shared" si="1"/>
        <v>4066.38</v>
      </c>
    </row>
    <row r="42" spans="1:9" x14ac:dyDescent="0.3">
      <c r="A42" s="8" t="s">
        <v>352</v>
      </c>
      <c r="B42" s="8" t="s">
        <v>374</v>
      </c>
      <c r="C42" t="s">
        <v>43</v>
      </c>
      <c r="D42" t="s">
        <v>88</v>
      </c>
      <c r="E42" t="str">
        <f>_xlfn.XLOOKUP(SalesSummaryTable[[#This Row],[Product ID]], InventoryTable[Product ID], InventoryTable[Category])</f>
        <v>Office Supplies</v>
      </c>
      <c r="F42" t="str">
        <f>_xlfn.XLOOKUP(SalesSummaryTable[[#This Row],[Product ID]], InventoryTable[Product ID], InventoryTable[Supplier])</f>
        <v>Gadgets Ltd</v>
      </c>
      <c r="G42">
        <v>3</v>
      </c>
      <c r="H42" s="5">
        <f>_xlfn.XLOOKUP(SalesSummaryTable[[#This Row],[Product ID]], InventoryTable[Product ID], InventoryTable[Selling Price (€)])</f>
        <v>1340.61</v>
      </c>
      <c r="I42" s="2">
        <f t="shared" si="1"/>
        <v>4021.83</v>
      </c>
    </row>
    <row r="43" spans="1:9" x14ac:dyDescent="0.3">
      <c r="A43" s="8" t="s">
        <v>353</v>
      </c>
      <c r="B43" s="8" t="s">
        <v>374</v>
      </c>
      <c r="C43" t="s">
        <v>42</v>
      </c>
      <c r="D43" t="s">
        <v>72</v>
      </c>
      <c r="E43" t="str">
        <f>_xlfn.XLOOKUP(SalesSummaryTable[[#This Row],[Product ID]], InventoryTable[Product ID], InventoryTable[Category])</f>
        <v>Office Supplies</v>
      </c>
      <c r="F43" t="str">
        <f>_xlfn.XLOOKUP(SalesSummaryTable[[#This Row],[Product ID]], InventoryTable[Product ID], InventoryTable[Supplier])</f>
        <v>StoragePro</v>
      </c>
      <c r="G43">
        <v>9</v>
      </c>
      <c r="H43" s="5">
        <f>_xlfn.XLOOKUP(SalesSummaryTable[[#This Row],[Product ID]], InventoryTable[Product ID], InventoryTable[Selling Price (€)])</f>
        <v>294.07</v>
      </c>
      <c r="I43" s="2">
        <f t="shared" si="1"/>
        <v>2646.63</v>
      </c>
    </row>
    <row r="44" spans="1:9" x14ac:dyDescent="0.3">
      <c r="A44" s="8" t="s">
        <v>333</v>
      </c>
      <c r="B44" s="8" t="s">
        <v>373</v>
      </c>
      <c r="C44" t="s">
        <v>19</v>
      </c>
      <c r="D44" t="s">
        <v>69</v>
      </c>
      <c r="E44" t="str">
        <f>_xlfn.XLOOKUP(SalesSummaryTable[[#This Row],[Product ID]], InventoryTable[Product ID], InventoryTable[Category])</f>
        <v>Storage</v>
      </c>
      <c r="F44" t="str">
        <f>_xlfn.XLOOKUP(SalesSummaryTable[[#This Row],[Product ID]], InventoryTable[Product ID], InventoryTable[Supplier])</f>
        <v>NetConnect</v>
      </c>
      <c r="G44">
        <v>1</v>
      </c>
      <c r="H44" s="5">
        <f>_xlfn.XLOOKUP(SalesSummaryTable[[#This Row],[Product ID]], InventoryTable[Product ID], InventoryTable[Selling Price (€)])</f>
        <v>269.32</v>
      </c>
      <c r="I44" s="2">
        <f t="shared" si="1"/>
        <v>269.32</v>
      </c>
    </row>
    <row r="45" spans="1:9" x14ac:dyDescent="0.3">
      <c r="A45" s="8" t="s">
        <v>121</v>
      </c>
      <c r="B45" s="8" t="s">
        <v>374</v>
      </c>
      <c r="C45" t="s">
        <v>25</v>
      </c>
      <c r="D45" t="s">
        <v>67</v>
      </c>
      <c r="E45" t="str">
        <f>_xlfn.XLOOKUP(SalesSummaryTable[[#This Row],[Product ID]], InventoryTable[Product ID], InventoryTable[Category])</f>
        <v>Networking</v>
      </c>
      <c r="F45" t="str">
        <f>_xlfn.XLOOKUP(SalesSummaryTable[[#This Row],[Product ID]], InventoryTable[Product ID], InventoryTable[Supplier])</f>
        <v>Office Essentials</v>
      </c>
      <c r="G45">
        <v>8</v>
      </c>
      <c r="H45" s="5">
        <f>_xlfn.XLOOKUP(SalesSummaryTable[[#This Row],[Product ID]], InventoryTable[Product ID], InventoryTable[Selling Price (€)])</f>
        <v>336.04</v>
      </c>
      <c r="I45" s="2">
        <f t="shared" si="1"/>
        <v>2688.32</v>
      </c>
    </row>
    <row r="46" spans="1:9" x14ac:dyDescent="0.3">
      <c r="A46" s="8" t="s">
        <v>336</v>
      </c>
      <c r="B46" s="8" t="s">
        <v>372</v>
      </c>
      <c r="C46" t="s">
        <v>26</v>
      </c>
      <c r="D46" t="s">
        <v>354</v>
      </c>
      <c r="E46" t="str">
        <f>_xlfn.XLOOKUP(SalesSummaryTable[[#This Row],[Product ID]], InventoryTable[Product ID], InventoryTable[Category])</f>
        <v>Electronics</v>
      </c>
      <c r="F46" t="str">
        <f>_xlfn.XLOOKUP(SalesSummaryTable[[#This Row],[Product ID]], InventoryTable[Product ID], InventoryTable[Supplier])</f>
        <v>TechCorp</v>
      </c>
      <c r="G46">
        <v>7</v>
      </c>
      <c r="H46" s="5">
        <f>_xlfn.XLOOKUP(SalesSummaryTable[[#This Row],[Product ID]], InventoryTable[Product ID], InventoryTable[Selling Price (€)])</f>
        <v>170.61</v>
      </c>
      <c r="I46" s="2">
        <f t="shared" si="1"/>
        <v>1194.27</v>
      </c>
    </row>
    <row r="47" spans="1:9" x14ac:dyDescent="0.3">
      <c r="A47" s="8" t="s">
        <v>341</v>
      </c>
      <c r="B47" s="8" t="s">
        <v>373</v>
      </c>
      <c r="C47" t="s">
        <v>55</v>
      </c>
      <c r="D47" t="s">
        <v>76</v>
      </c>
      <c r="E47" t="str">
        <f>_xlfn.XLOOKUP(SalesSummaryTable[[#This Row],[Product ID]], InventoryTable[Product ID], InventoryTable[Category])</f>
        <v>Electronics</v>
      </c>
      <c r="F47" t="str">
        <f>_xlfn.XLOOKUP(SalesSummaryTable[[#This Row],[Product ID]], InventoryTable[Product ID], InventoryTable[Supplier])</f>
        <v>Display World</v>
      </c>
      <c r="G47">
        <v>1</v>
      </c>
      <c r="H47" s="5">
        <f>_xlfn.XLOOKUP(SalesSummaryTable[[#This Row],[Product ID]], InventoryTable[Product ID], InventoryTable[Selling Price (€)])</f>
        <v>1053.3800000000001</v>
      </c>
      <c r="I47" s="2">
        <f t="shared" si="1"/>
        <v>1053.3800000000001</v>
      </c>
    </row>
    <row r="48" spans="1:9" x14ac:dyDescent="0.3">
      <c r="A48" s="8" t="s">
        <v>193</v>
      </c>
      <c r="B48" s="8" t="s">
        <v>372</v>
      </c>
      <c r="C48" t="s">
        <v>39</v>
      </c>
      <c r="D48" t="s">
        <v>85</v>
      </c>
      <c r="E48" t="str">
        <f>_xlfn.XLOOKUP(SalesSummaryTable[[#This Row],[Product ID]], InventoryTable[Product ID], InventoryTable[Category])</f>
        <v>Accessories</v>
      </c>
      <c r="F48" t="str">
        <f>_xlfn.XLOOKUP(SalesSummaryTable[[#This Row],[Product ID]], InventoryTable[Product ID], InventoryTable[Supplier])</f>
        <v>Gadgets Ltd</v>
      </c>
      <c r="G48">
        <v>9</v>
      </c>
      <c r="H48" s="5">
        <f>_xlfn.XLOOKUP(SalesSummaryTable[[#This Row],[Product ID]], InventoryTable[Product ID], InventoryTable[Selling Price (€)])</f>
        <v>68.59</v>
      </c>
      <c r="I48" s="2">
        <f t="shared" si="1"/>
        <v>617.31000000000006</v>
      </c>
    </row>
    <row r="49" spans="1:9" x14ac:dyDescent="0.3">
      <c r="A49" s="8" t="s">
        <v>344</v>
      </c>
      <c r="B49" s="8" t="s">
        <v>372</v>
      </c>
      <c r="C49" t="s">
        <v>40</v>
      </c>
      <c r="D49" t="s">
        <v>63</v>
      </c>
      <c r="E49" t="str">
        <f>_xlfn.XLOOKUP(SalesSummaryTable[[#This Row],[Product ID]], InventoryTable[Product ID], InventoryTable[Category])</f>
        <v>Accessories</v>
      </c>
      <c r="F49" t="str">
        <f>_xlfn.XLOOKUP(SalesSummaryTable[[#This Row],[Product ID]], InventoryTable[Product ID], InventoryTable[Supplier])</f>
        <v>Gadgets Ltd</v>
      </c>
      <c r="G49">
        <v>8</v>
      </c>
      <c r="H49" s="5">
        <f>_xlfn.XLOOKUP(SalesSummaryTable[[#This Row],[Product ID]], InventoryTable[Product ID], InventoryTable[Selling Price (€)])</f>
        <v>749.76</v>
      </c>
      <c r="I49" s="2">
        <f t="shared" si="1"/>
        <v>5998.08</v>
      </c>
    </row>
    <row r="50" spans="1:9" x14ac:dyDescent="0.3">
      <c r="A50" s="8" t="s">
        <v>330</v>
      </c>
      <c r="B50" s="8" t="s">
        <v>373</v>
      </c>
      <c r="C50" t="s">
        <v>25</v>
      </c>
      <c r="D50" t="s">
        <v>67</v>
      </c>
      <c r="E50" t="str">
        <f>_xlfn.XLOOKUP(SalesSummaryTable[[#This Row],[Product ID]], InventoryTable[Product ID], InventoryTable[Category])</f>
        <v>Networking</v>
      </c>
      <c r="F50" t="str">
        <f>_xlfn.XLOOKUP(SalesSummaryTable[[#This Row],[Product ID]], InventoryTable[Product ID], InventoryTable[Supplier])</f>
        <v>Office Essentials</v>
      </c>
      <c r="G50">
        <v>9</v>
      </c>
      <c r="H50" s="5">
        <f>_xlfn.XLOOKUP(SalesSummaryTable[[#This Row],[Product ID]], InventoryTable[Product ID], InventoryTable[Selling Price (€)])</f>
        <v>336.04</v>
      </c>
      <c r="I50" s="2">
        <f t="shared" si="1"/>
        <v>3024.36</v>
      </c>
    </row>
    <row r="51" spans="1:9" x14ac:dyDescent="0.3">
      <c r="A51" s="8" t="s">
        <v>216</v>
      </c>
      <c r="B51" s="8" t="s">
        <v>372</v>
      </c>
      <c r="C51" t="s">
        <v>9</v>
      </c>
      <c r="D51" t="s">
        <v>71</v>
      </c>
      <c r="E51" t="str">
        <f>_xlfn.XLOOKUP(SalesSummaryTable[[#This Row],[Product ID]], InventoryTable[Product ID], InventoryTable[Category])</f>
        <v>Electronics</v>
      </c>
      <c r="F51" t="str">
        <f>_xlfn.XLOOKUP(SalesSummaryTable[[#This Row],[Product ID]], InventoryTable[Product ID], InventoryTable[Supplier])</f>
        <v>Office Essentials</v>
      </c>
      <c r="G51">
        <v>5</v>
      </c>
      <c r="H51" s="5">
        <f>_xlfn.XLOOKUP(SalesSummaryTable[[#This Row],[Product ID]], InventoryTable[Product ID], InventoryTable[Selling Price (€)])</f>
        <v>508.96</v>
      </c>
      <c r="I51" s="2">
        <f t="shared" si="1"/>
        <v>2544.7999999999997</v>
      </c>
    </row>
    <row r="52" spans="1:9" x14ac:dyDescent="0.3">
      <c r="A52" s="8" t="s">
        <v>187</v>
      </c>
      <c r="B52" s="8" t="s">
        <v>373</v>
      </c>
      <c r="C52" t="s">
        <v>44</v>
      </c>
      <c r="D52" t="s">
        <v>75</v>
      </c>
      <c r="E52" t="str">
        <f>_xlfn.XLOOKUP(SalesSummaryTable[[#This Row],[Product ID]], InventoryTable[Product ID], InventoryTable[Category])</f>
        <v>Office Supplies</v>
      </c>
      <c r="F52" t="str">
        <f>_xlfn.XLOOKUP(SalesSummaryTable[[#This Row],[Product ID]], InventoryTable[Product ID], InventoryTable[Supplier])</f>
        <v>Gadgets Ltd</v>
      </c>
      <c r="G52">
        <v>1</v>
      </c>
      <c r="H52" s="5">
        <f>_xlfn.XLOOKUP(SalesSummaryTable[[#This Row],[Product ID]], InventoryTable[Product ID], InventoryTable[Selling Price (€)])</f>
        <v>982.88</v>
      </c>
      <c r="I52" s="2">
        <f t="shared" si="1"/>
        <v>982.88</v>
      </c>
    </row>
    <row r="53" spans="1:9" x14ac:dyDescent="0.3">
      <c r="A53" s="8" t="s">
        <v>218</v>
      </c>
      <c r="B53" s="8" t="s">
        <v>374</v>
      </c>
      <c r="C53" t="s">
        <v>29</v>
      </c>
      <c r="D53" t="s">
        <v>355</v>
      </c>
      <c r="E53" t="str">
        <f>_xlfn.XLOOKUP(SalesSummaryTable[[#This Row],[Product ID]], InventoryTable[Product ID], InventoryTable[Category])</f>
        <v>Office Supplies</v>
      </c>
      <c r="F53" t="str">
        <f>_xlfn.XLOOKUP(SalesSummaryTable[[#This Row],[Product ID]], InventoryTable[Product ID], InventoryTable[Supplier])</f>
        <v>TechCorp</v>
      </c>
      <c r="G53">
        <v>8</v>
      </c>
      <c r="H53" s="5">
        <f>_xlfn.XLOOKUP(SalesSummaryTable[[#This Row],[Product ID]], InventoryTable[Product ID], InventoryTable[Selling Price (€)])</f>
        <v>466.36</v>
      </c>
      <c r="I53" s="2">
        <f t="shared" si="1"/>
        <v>3730.88</v>
      </c>
    </row>
    <row r="54" spans="1:9" x14ac:dyDescent="0.3">
      <c r="A54" s="8" t="s">
        <v>356</v>
      </c>
      <c r="B54" s="8" t="s">
        <v>374</v>
      </c>
      <c r="C54" t="s">
        <v>8</v>
      </c>
      <c r="D54" t="s">
        <v>70</v>
      </c>
      <c r="E54" t="str">
        <f>_xlfn.XLOOKUP(SalesSummaryTable[[#This Row],[Product ID]], InventoryTable[Product ID], InventoryTable[Category])</f>
        <v>Accessories</v>
      </c>
      <c r="F54" t="str">
        <f>_xlfn.XLOOKUP(SalesSummaryTable[[#This Row],[Product ID]], InventoryTable[Product ID], InventoryTable[Supplier])</f>
        <v>Print Solutions</v>
      </c>
      <c r="G54">
        <v>2</v>
      </c>
      <c r="H54" s="5">
        <f>_xlfn.XLOOKUP(SalesSummaryTable[[#This Row],[Product ID]], InventoryTable[Product ID], InventoryTable[Selling Price (€)])</f>
        <v>291.12</v>
      </c>
      <c r="I54" s="2">
        <f t="shared" si="1"/>
        <v>582.24</v>
      </c>
    </row>
    <row r="55" spans="1:9" x14ac:dyDescent="0.3">
      <c r="A55" s="8" t="s">
        <v>332</v>
      </c>
      <c r="B55" s="8" t="s">
        <v>372</v>
      </c>
      <c r="C55" t="s">
        <v>19</v>
      </c>
      <c r="D55" t="s">
        <v>69</v>
      </c>
      <c r="E55" t="str">
        <f>_xlfn.XLOOKUP(SalesSummaryTable[[#This Row],[Product ID]], InventoryTable[Product ID], InventoryTable[Category])</f>
        <v>Storage</v>
      </c>
      <c r="F55" t="str">
        <f>_xlfn.XLOOKUP(SalesSummaryTable[[#This Row],[Product ID]], InventoryTable[Product ID], InventoryTable[Supplier])</f>
        <v>NetConnect</v>
      </c>
      <c r="G55">
        <v>2</v>
      </c>
      <c r="H55" s="5">
        <f>_xlfn.XLOOKUP(SalesSummaryTable[[#This Row],[Product ID]], InventoryTable[Product ID], InventoryTable[Selling Price (€)])</f>
        <v>269.32</v>
      </c>
      <c r="I55" s="2">
        <f t="shared" si="1"/>
        <v>538.64</v>
      </c>
    </row>
    <row r="56" spans="1:9" x14ac:dyDescent="0.3">
      <c r="A56" s="8" t="s">
        <v>357</v>
      </c>
      <c r="B56" s="8" t="s">
        <v>373</v>
      </c>
      <c r="C56" t="s">
        <v>55</v>
      </c>
      <c r="D56" t="s">
        <v>76</v>
      </c>
      <c r="E56" t="str">
        <f>_xlfn.XLOOKUP(SalesSummaryTable[[#This Row],[Product ID]], InventoryTable[Product ID], InventoryTable[Category])</f>
        <v>Electronics</v>
      </c>
      <c r="F56" t="str">
        <f>_xlfn.XLOOKUP(SalesSummaryTable[[#This Row],[Product ID]], InventoryTable[Product ID], InventoryTable[Supplier])</f>
        <v>Display World</v>
      </c>
      <c r="G56">
        <v>6</v>
      </c>
      <c r="H56" s="5">
        <f>_xlfn.XLOOKUP(SalesSummaryTable[[#This Row],[Product ID]], InventoryTable[Product ID], InventoryTable[Selling Price (€)])</f>
        <v>1053.3800000000001</v>
      </c>
      <c r="I56" s="2">
        <f t="shared" si="1"/>
        <v>6320.2800000000007</v>
      </c>
    </row>
    <row r="57" spans="1:9" x14ac:dyDescent="0.3">
      <c r="A57" s="8" t="s">
        <v>358</v>
      </c>
      <c r="B57" s="8" t="s">
        <v>372</v>
      </c>
      <c r="C57" t="s">
        <v>50</v>
      </c>
      <c r="D57" t="s">
        <v>331</v>
      </c>
      <c r="E57" t="str">
        <f>_xlfn.XLOOKUP(SalesSummaryTable[[#This Row],[Product ID]], InventoryTable[Product ID], InventoryTable[Category])</f>
        <v>Office Supplies</v>
      </c>
      <c r="F57" t="str">
        <f>_xlfn.XLOOKUP(SalesSummaryTable[[#This Row],[Product ID]], InventoryTable[Product ID], InventoryTable[Supplier])</f>
        <v>Print Solutions</v>
      </c>
      <c r="G57">
        <v>2</v>
      </c>
      <c r="H57" s="5">
        <f>_xlfn.XLOOKUP(SalesSummaryTable[[#This Row],[Product ID]], InventoryTable[Product ID], InventoryTable[Selling Price (€)])</f>
        <v>394.87</v>
      </c>
      <c r="I57" s="2">
        <f t="shared" si="1"/>
        <v>789.74</v>
      </c>
    </row>
    <row r="58" spans="1:9" x14ac:dyDescent="0.3">
      <c r="A58" s="8" t="s">
        <v>171</v>
      </c>
      <c r="B58" s="8" t="s">
        <v>374</v>
      </c>
      <c r="C58" t="s">
        <v>54</v>
      </c>
      <c r="D58" t="s">
        <v>60</v>
      </c>
      <c r="E58" t="str">
        <f>_xlfn.XLOOKUP(SalesSummaryTable[[#This Row],[Product ID]], InventoryTable[Product ID], InventoryTable[Category])</f>
        <v>Networking</v>
      </c>
      <c r="F58" t="str">
        <f>_xlfn.XLOOKUP(SalesSummaryTable[[#This Row],[Product ID]], InventoryTable[Product ID], InventoryTable[Supplier])</f>
        <v>NetConnect</v>
      </c>
      <c r="G58">
        <v>1</v>
      </c>
      <c r="H58" s="5">
        <f>_xlfn.XLOOKUP(SalesSummaryTable[[#This Row],[Product ID]], InventoryTable[Product ID], InventoryTable[Selling Price (€)])</f>
        <v>911.95</v>
      </c>
      <c r="I58" s="2">
        <f t="shared" si="1"/>
        <v>911.95</v>
      </c>
    </row>
    <row r="59" spans="1:9" x14ac:dyDescent="0.3">
      <c r="A59" s="8" t="s">
        <v>333</v>
      </c>
      <c r="B59" s="8" t="s">
        <v>373</v>
      </c>
      <c r="C59" t="s">
        <v>33</v>
      </c>
      <c r="D59" t="s">
        <v>359</v>
      </c>
      <c r="E59" t="str">
        <f>_xlfn.XLOOKUP(SalesSummaryTable[[#This Row],[Product ID]], InventoryTable[Product ID], InventoryTable[Category])</f>
        <v>Networking</v>
      </c>
      <c r="F59" t="str">
        <f>_xlfn.XLOOKUP(SalesSummaryTable[[#This Row],[Product ID]], InventoryTable[Product ID], InventoryTable[Supplier])</f>
        <v>NetConnect</v>
      </c>
      <c r="G59">
        <v>10</v>
      </c>
      <c r="H59" s="5">
        <f>_xlfn.XLOOKUP(SalesSummaryTable[[#This Row],[Product ID]], InventoryTable[Product ID], InventoryTable[Selling Price (€)])</f>
        <v>628.86</v>
      </c>
      <c r="I59" s="2">
        <f t="shared" si="1"/>
        <v>6288.6</v>
      </c>
    </row>
    <row r="60" spans="1:9" x14ac:dyDescent="0.3">
      <c r="A60" s="8" t="s">
        <v>143</v>
      </c>
      <c r="B60" s="8" t="s">
        <v>374</v>
      </c>
      <c r="C60" t="s">
        <v>14</v>
      </c>
      <c r="D60" t="s">
        <v>79</v>
      </c>
      <c r="E60" t="str">
        <f>_xlfn.XLOOKUP(SalesSummaryTable[[#This Row],[Product ID]], InventoryTable[Product ID], InventoryTable[Category])</f>
        <v>Accessories</v>
      </c>
      <c r="F60" t="str">
        <f>_xlfn.XLOOKUP(SalesSummaryTable[[#This Row],[Product ID]], InventoryTable[Product ID], InventoryTable[Supplier])</f>
        <v>StoragePro</v>
      </c>
      <c r="G60">
        <v>1</v>
      </c>
      <c r="H60" s="5">
        <f>_xlfn.XLOOKUP(SalesSummaryTable[[#This Row],[Product ID]], InventoryTable[Product ID], InventoryTable[Selling Price (€)])</f>
        <v>1075.8499999999999</v>
      </c>
      <c r="I60" s="2">
        <f t="shared" si="1"/>
        <v>1075.8499999999999</v>
      </c>
    </row>
    <row r="61" spans="1:9" x14ac:dyDescent="0.3">
      <c r="A61" s="8" t="s">
        <v>115</v>
      </c>
      <c r="B61" s="8" t="s">
        <v>373</v>
      </c>
      <c r="C61" t="s">
        <v>14</v>
      </c>
      <c r="D61" t="s">
        <v>79</v>
      </c>
      <c r="E61" t="str">
        <f>_xlfn.XLOOKUP(SalesSummaryTable[[#This Row],[Product ID]], InventoryTable[Product ID], InventoryTable[Category])</f>
        <v>Accessories</v>
      </c>
      <c r="F61" t="str">
        <f>_xlfn.XLOOKUP(SalesSummaryTable[[#This Row],[Product ID]], InventoryTable[Product ID], InventoryTable[Supplier])</f>
        <v>StoragePro</v>
      </c>
      <c r="G61">
        <v>9</v>
      </c>
      <c r="H61" s="5">
        <f>_xlfn.XLOOKUP(SalesSummaryTable[[#This Row],[Product ID]], InventoryTable[Product ID], InventoryTable[Selling Price (€)])</f>
        <v>1075.8499999999999</v>
      </c>
      <c r="I61" s="2">
        <f t="shared" si="1"/>
        <v>9682.65</v>
      </c>
    </row>
    <row r="62" spans="1:9" x14ac:dyDescent="0.3">
      <c r="A62" s="8" t="s">
        <v>356</v>
      </c>
      <c r="B62" s="8" t="s">
        <v>374</v>
      </c>
      <c r="C62" t="s">
        <v>24</v>
      </c>
      <c r="D62" t="s">
        <v>360</v>
      </c>
      <c r="E62" t="str">
        <f>_xlfn.XLOOKUP(SalesSummaryTable[[#This Row],[Product ID]], InventoryTable[Product ID], InventoryTable[Category])</f>
        <v>Office Supplies</v>
      </c>
      <c r="F62" t="str">
        <f>_xlfn.XLOOKUP(SalesSummaryTable[[#This Row],[Product ID]], InventoryTable[Product ID], InventoryTable[Supplier])</f>
        <v>Office Essentials</v>
      </c>
      <c r="G62">
        <v>8</v>
      </c>
      <c r="H62" s="5">
        <f>_xlfn.XLOOKUP(SalesSummaryTable[[#This Row],[Product ID]], InventoryTable[Product ID], InventoryTable[Selling Price (€)])</f>
        <v>343.35</v>
      </c>
      <c r="I62" s="2">
        <f t="shared" si="1"/>
        <v>2746.8</v>
      </c>
    </row>
    <row r="63" spans="1:9" x14ac:dyDescent="0.3">
      <c r="A63" s="8" t="s">
        <v>352</v>
      </c>
      <c r="B63" s="8" t="s">
        <v>374</v>
      </c>
      <c r="C63" t="s">
        <v>46</v>
      </c>
      <c r="D63" t="s">
        <v>347</v>
      </c>
      <c r="E63" t="str">
        <f>_xlfn.XLOOKUP(SalesSummaryTable[[#This Row],[Product ID]], InventoryTable[Product ID], InventoryTable[Category])</f>
        <v>Accessories</v>
      </c>
      <c r="F63" t="str">
        <f>_xlfn.XLOOKUP(SalesSummaryTable[[#This Row],[Product ID]], InventoryTable[Product ID], InventoryTable[Supplier])</f>
        <v>Gadgets Ltd</v>
      </c>
      <c r="G63">
        <v>7</v>
      </c>
      <c r="H63" s="5">
        <f>_xlfn.XLOOKUP(SalesSummaryTable[[#This Row],[Product ID]], InventoryTable[Product ID], InventoryTable[Selling Price (€)])</f>
        <v>364.76</v>
      </c>
      <c r="I63" s="2">
        <f t="shared" si="1"/>
        <v>2553.3199999999997</v>
      </c>
    </row>
    <row r="64" spans="1:9" x14ac:dyDescent="0.3">
      <c r="A64" s="8" t="s">
        <v>361</v>
      </c>
      <c r="B64" s="8" t="s">
        <v>372</v>
      </c>
      <c r="C64" t="s">
        <v>41</v>
      </c>
      <c r="D64" t="s">
        <v>59</v>
      </c>
      <c r="E64" t="str">
        <f>_xlfn.XLOOKUP(SalesSummaryTable[[#This Row],[Product ID]], InventoryTable[Product ID], InventoryTable[Category])</f>
        <v>Office Supplies</v>
      </c>
      <c r="F64" t="str">
        <f>_xlfn.XLOOKUP(SalesSummaryTable[[#This Row],[Product ID]], InventoryTable[Product ID], InventoryTable[Supplier])</f>
        <v>Gadgets Ltd</v>
      </c>
      <c r="G64">
        <v>8</v>
      </c>
      <c r="H64" s="5">
        <f>_xlfn.XLOOKUP(SalesSummaryTable[[#This Row],[Product ID]], InventoryTable[Product ID], InventoryTable[Selling Price (€)])</f>
        <v>302.31</v>
      </c>
      <c r="I64" s="2">
        <f t="shared" si="1"/>
        <v>2418.48</v>
      </c>
    </row>
    <row r="65" spans="1:9" x14ac:dyDescent="0.3">
      <c r="A65" s="8" t="s">
        <v>208</v>
      </c>
      <c r="B65" s="8" t="s">
        <v>372</v>
      </c>
      <c r="C65" t="s">
        <v>48</v>
      </c>
      <c r="D65" t="s">
        <v>82</v>
      </c>
      <c r="E65" t="str">
        <f>_xlfn.XLOOKUP(SalesSummaryTable[[#This Row],[Product ID]], InventoryTable[Product ID], InventoryTable[Category])</f>
        <v>Office Supplies</v>
      </c>
      <c r="F65" t="str">
        <f>_xlfn.XLOOKUP(SalesSummaryTable[[#This Row],[Product ID]], InventoryTable[Product ID], InventoryTable[Supplier])</f>
        <v>NetConnect</v>
      </c>
      <c r="G65">
        <v>2</v>
      </c>
      <c r="H65" s="5">
        <f>_xlfn.XLOOKUP(SalesSummaryTable[[#This Row],[Product ID]], InventoryTable[Product ID], InventoryTable[Selling Price (€)])</f>
        <v>114.65</v>
      </c>
      <c r="I65" s="2">
        <f t="shared" si="1"/>
        <v>229.3</v>
      </c>
    </row>
    <row r="66" spans="1:9" x14ac:dyDescent="0.3">
      <c r="A66" s="8" t="s">
        <v>137</v>
      </c>
      <c r="B66" s="8" t="s">
        <v>374</v>
      </c>
      <c r="C66" t="s">
        <v>40</v>
      </c>
      <c r="D66" t="s">
        <v>63</v>
      </c>
      <c r="E66" t="str">
        <f>_xlfn.XLOOKUP(SalesSummaryTable[[#This Row],[Product ID]], InventoryTable[Product ID], InventoryTable[Category])</f>
        <v>Accessories</v>
      </c>
      <c r="F66" t="str">
        <f>_xlfn.XLOOKUP(SalesSummaryTable[[#This Row],[Product ID]], InventoryTable[Product ID], InventoryTable[Supplier])</f>
        <v>Gadgets Ltd</v>
      </c>
      <c r="G66">
        <v>1</v>
      </c>
      <c r="H66" s="5">
        <f>_xlfn.XLOOKUP(SalesSummaryTable[[#This Row],[Product ID]], InventoryTable[Product ID], InventoryTable[Selling Price (€)])</f>
        <v>749.76</v>
      </c>
      <c r="I66" s="2">
        <f t="shared" ref="I66:I97" si="2">G66*H66</f>
        <v>749.76</v>
      </c>
    </row>
    <row r="67" spans="1:9" x14ac:dyDescent="0.3">
      <c r="A67" s="8" t="s">
        <v>362</v>
      </c>
      <c r="B67" s="8" t="s">
        <v>372</v>
      </c>
      <c r="C67" t="s">
        <v>16</v>
      </c>
      <c r="D67" t="s">
        <v>83</v>
      </c>
      <c r="E67" t="str">
        <f>_xlfn.XLOOKUP(SalesSummaryTable[[#This Row],[Product ID]], InventoryTable[Product ID], InventoryTable[Category])</f>
        <v>Electronics</v>
      </c>
      <c r="F67" t="str">
        <f>_xlfn.XLOOKUP(SalesSummaryTable[[#This Row],[Product ID]], InventoryTable[Product ID], InventoryTable[Supplier])</f>
        <v>StoragePro</v>
      </c>
      <c r="G67">
        <v>10</v>
      </c>
      <c r="H67" s="5">
        <f>_xlfn.XLOOKUP(SalesSummaryTable[[#This Row],[Product ID]], InventoryTable[Product ID], InventoryTable[Selling Price (€)])</f>
        <v>245.74</v>
      </c>
      <c r="I67" s="2">
        <f t="shared" si="2"/>
        <v>2457.4</v>
      </c>
    </row>
    <row r="68" spans="1:9" x14ac:dyDescent="0.3">
      <c r="A68" s="8" t="s">
        <v>346</v>
      </c>
      <c r="B68" s="8" t="s">
        <v>374</v>
      </c>
      <c r="C68" t="s">
        <v>20</v>
      </c>
      <c r="D68" t="s">
        <v>340</v>
      </c>
      <c r="E68" t="str">
        <f>_xlfn.XLOOKUP(SalesSummaryTable[[#This Row],[Product ID]], InventoryTable[Product ID], InventoryTable[Category])</f>
        <v>Storage</v>
      </c>
      <c r="F68" t="str">
        <f>_xlfn.XLOOKUP(SalesSummaryTable[[#This Row],[Product ID]], InventoryTable[Product ID], InventoryTable[Supplier])</f>
        <v>TechCorp</v>
      </c>
      <c r="G68">
        <v>9</v>
      </c>
      <c r="H68" s="5">
        <f>_xlfn.XLOOKUP(SalesSummaryTable[[#This Row],[Product ID]], InventoryTable[Product ID], InventoryTable[Selling Price (€)])</f>
        <v>910.18</v>
      </c>
      <c r="I68" s="2">
        <f t="shared" si="2"/>
        <v>8191.62</v>
      </c>
    </row>
    <row r="69" spans="1:9" x14ac:dyDescent="0.3">
      <c r="A69" s="8" t="s">
        <v>363</v>
      </c>
      <c r="B69" s="8" t="s">
        <v>374</v>
      </c>
      <c r="C69" t="s">
        <v>32</v>
      </c>
      <c r="D69" t="s">
        <v>75</v>
      </c>
      <c r="E69" t="str">
        <f>_xlfn.XLOOKUP(SalesSummaryTable[[#This Row],[Product ID]], InventoryTable[Product ID], InventoryTable[Category])</f>
        <v>Storage</v>
      </c>
      <c r="F69" t="str">
        <f>_xlfn.XLOOKUP(SalesSummaryTable[[#This Row],[Product ID]], InventoryTable[Product ID], InventoryTable[Supplier])</f>
        <v>Print Solutions</v>
      </c>
      <c r="G69">
        <v>9</v>
      </c>
      <c r="H69" s="5">
        <f>_xlfn.XLOOKUP(SalesSummaryTable[[#This Row],[Product ID]], InventoryTable[Product ID], InventoryTable[Selling Price (€)])</f>
        <v>363.47</v>
      </c>
      <c r="I69" s="2">
        <f t="shared" si="2"/>
        <v>3271.2300000000005</v>
      </c>
    </row>
    <row r="70" spans="1:9" x14ac:dyDescent="0.3">
      <c r="A70" s="8" t="s">
        <v>330</v>
      </c>
      <c r="B70" s="8" t="s">
        <v>373</v>
      </c>
      <c r="C70" t="s">
        <v>49</v>
      </c>
      <c r="D70" t="s">
        <v>81</v>
      </c>
      <c r="E70" t="str">
        <f>_xlfn.XLOOKUP(SalesSummaryTable[[#This Row],[Product ID]], InventoryTable[Product ID], InventoryTable[Category])</f>
        <v>Networking</v>
      </c>
      <c r="F70" t="str">
        <f>_xlfn.XLOOKUP(SalesSummaryTable[[#This Row],[Product ID]], InventoryTable[Product ID], InventoryTable[Supplier])</f>
        <v>StoragePro</v>
      </c>
      <c r="G70">
        <v>2</v>
      </c>
      <c r="H70" s="5">
        <f>_xlfn.XLOOKUP(SalesSummaryTable[[#This Row],[Product ID]], InventoryTable[Product ID], InventoryTable[Selling Price (€)])</f>
        <v>926.57</v>
      </c>
      <c r="I70" s="2">
        <f t="shared" si="2"/>
        <v>1853.14</v>
      </c>
    </row>
    <row r="71" spans="1:9" x14ac:dyDescent="0.3">
      <c r="A71" s="8" t="s">
        <v>157</v>
      </c>
      <c r="B71" s="8" t="s">
        <v>373</v>
      </c>
      <c r="C71" t="s">
        <v>52</v>
      </c>
      <c r="D71" t="s">
        <v>355</v>
      </c>
      <c r="E71" t="str">
        <f>_xlfn.XLOOKUP(SalesSummaryTable[[#This Row],[Product ID]], InventoryTable[Product ID], InventoryTable[Category])</f>
        <v>Accessories</v>
      </c>
      <c r="F71" t="str">
        <f>_xlfn.XLOOKUP(SalesSummaryTable[[#This Row],[Product ID]], InventoryTable[Product ID], InventoryTable[Supplier])</f>
        <v>Gadgets Ltd</v>
      </c>
      <c r="G71">
        <v>2</v>
      </c>
      <c r="H71" s="5">
        <f>_xlfn.XLOOKUP(SalesSummaryTable[[#This Row],[Product ID]], InventoryTable[Product ID], InventoryTable[Selling Price (€)])</f>
        <v>554.55999999999995</v>
      </c>
      <c r="I71" s="2">
        <f t="shared" si="2"/>
        <v>1109.1199999999999</v>
      </c>
    </row>
    <row r="72" spans="1:9" x14ac:dyDescent="0.3">
      <c r="A72" s="8" t="s">
        <v>239</v>
      </c>
      <c r="B72" s="8" t="s">
        <v>374</v>
      </c>
      <c r="C72" t="s">
        <v>19</v>
      </c>
      <c r="D72" t="s">
        <v>69</v>
      </c>
      <c r="E72" t="str">
        <f>_xlfn.XLOOKUP(SalesSummaryTable[[#This Row],[Product ID]], InventoryTable[Product ID], InventoryTable[Category])</f>
        <v>Storage</v>
      </c>
      <c r="F72" t="str">
        <f>_xlfn.XLOOKUP(SalesSummaryTable[[#This Row],[Product ID]], InventoryTable[Product ID], InventoryTable[Supplier])</f>
        <v>NetConnect</v>
      </c>
      <c r="G72">
        <v>10</v>
      </c>
      <c r="H72" s="5">
        <f>_xlfn.XLOOKUP(SalesSummaryTable[[#This Row],[Product ID]], InventoryTable[Product ID], InventoryTable[Selling Price (€)])</f>
        <v>269.32</v>
      </c>
      <c r="I72" s="2">
        <f t="shared" si="2"/>
        <v>2693.2</v>
      </c>
    </row>
    <row r="73" spans="1:9" x14ac:dyDescent="0.3">
      <c r="A73" s="8" t="s">
        <v>119</v>
      </c>
      <c r="B73" s="8" t="s">
        <v>373</v>
      </c>
      <c r="C73" t="s">
        <v>52</v>
      </c>
      <c r="D73" t="s">
        <v>355</v>
      </c>
      <c r="E73" t="str">
        <f>_xlfn.XLOOKUP(SalesSummaryTable[[#This Row],[Product ID]], InventoryTable[Product ID], InventoryTable[Category])</f>
        <v>Accessories</v>
      </c>
      <c r="F73" t="str">
        <f>_xlfn.XLOOKUP(SalesSummaryTable[[#This Row],[Product ID]], InventoryTable[Product ID], InventoryTable[Supplier])</f>
        <v>Gadgets Ltd</v>
      </c>
      <c r="G73">
        <v>6</v>
      </c>
      <c r="H73" s="5">
        <f>_xlfn.XLOOKUP(SalesSummaryTable[[#This Row],[Product ID]], InventoryTable[Product ID], InventoryTable[Selling Price (€)])</f>
        <v>554.55999999999995</v>
      </c>
      <c r="I73" s="2">
        <f t="shared" si="2"/>
        <v>3327.3599999999997</v>
      </c>
    </row>
    <row r="74" spans="1:9" x14ac:dyDescent="0.3">
      <c r="A74" s="8" t="s">
        <v>364</v>
      </c>
      <c r="B74" s="8" t="s">
        <v>374</v>
      </c>
      <c r="C74" t="s">
        <v>43</v>
      </c>
      <c r="D74" t="s">
        <v>88</v>
      </c>
      <c r="E74" t="str">
        <f>_xlfn.XLOOKUP(SalesSummaryTable[[#This Row],[Product ID]], InventoryTable[Product ID], InventoryTable[Category])</f>
        <v>Office Supplies</v>
      </c>
      <c r="F74" t="str">
        <f>_xlfn.XLOOKUP(SalesSummaryTable[[#This Row],[Product ID]], InventoryTable[Product ID], InventoryTable[Supplier])</f>
        <v>Gadgets Ltd</v>
      </c>
      <c r="G74">
        <v>8</v>
      </c>
      <c r="H74" s="5">
        <f>_xlfn.XLOOKUP(SalesSummaryTable[[#This Row],[Product ID]], InventoryTable[Product ID], InventoryTable[Selling Price (€)])</f>
        <v>1340.61</v>
      </c>
      <c r="I74" s="2">
        <f t="shared" si="2"/>
        <v>10724.88</v>
      </c>
    </row>
    <row r="75" spans="1:9" x14ac:dyDescent="0.3">
      <c r="A75" s="8" t="s">
        <v>357</v>
      </c>
      <c r="B75" s="8" t="s">
        <v>373</v>
      </c>
      <c r="C75" t="s">
        <v>17</v>
      </c>
      <c r="D75" t="s">
        <v>339</v>
      </c>
      <c r="E75" t="str">
        <f>_xlfn.XLOOKUP(SalesSummaryTable[[#This Row],[Product ID]], InventoryTable[Product ID], InventoryTable[Category])</f>
        <v>Storage</v>
      </c>
      <c r="F75" t="str">
        <f>_xlfn.XLOOKUP(SalesSummaryTable[[#This Row],[Product ID]], InventoryTable[Product ID], InventoryTable[Supplier])</f>
        <v>NetConnect</v>
      </c>
      <c r="G75">
        <v>1</v>
      </c>
      <c r="H75" s="5">
        <f>_xlfn.XLOOKUP(SalesSummaryTable[[#This Row],[Product ID]], InventoryTable[Product ID], InventoryTable[Selling Price (€)])</f>
        <v>132.94</v>
      </c>
      <c r="I75" s="2">
        <f t="shared" si="2"/>
        <v>132.94</v>
      </c>
    </row>
    <row r="76" spans="1:9" x14ac:dyDescent="0.3">
      <c r="A76" s="8" t="s">
        <v>351</v>
      </c>
      <c r="B76" s="8" t="s">
        <v>372</v>
      </c>
      <c r="C76" t="s">
        <v>24</v>
      </c>
      <c r="D76" t="s">
        <v>360</v>
      </c>
      <c r="E76" t="str">
        <f>_xlfn.XLOOKUP(SalesSummaryTable[[#This Row],[Product ID]], InventoryTable[Product ID], InventoryTable[Category])</f>
        <v>Office Supplies</v>
      </c>
      <c r="F76" t="str">
        <f>_xlfn.XLOOKUP(SalesSummaryTable[[#This Row],[Product ID]], InventoryTable[Product ID], InventoryTable[Supplier])</f>
        <v>Office Essentials</v>
      </c>
      <c r="G76">
        <v>5</v>
      </c>
      <c r="H76" s="5">
        <f>_xlfn.XLOOKUP(SalesSummaryTable[[#This Row],[Product ID]], InventoryTable[Product ID], InventoryTable[Selling Price (€)])</f>
        <v>343.35</v>
      </c>
      <c r="I76" s="2">
        <f t="shared" si="2"/>
        <v>1716.75</v>
      </c>
    </row>
    <row r="77" spans="1:9" x14ac:dyDescent="0.3">
      <c r="A77" s="8" t="s">
        <v>193</v>
      </c>
      <c r="B77" s="8" t="s">
        <v>372</v>
      </c>
      <c r="C77" t="s">
        <v>38</v>
      </c>
      <c r="D77" t="s">
        <v>365</v>
      </c>
      <c r="E77" t="str">
        <f>_xlfn.XLOOKUP(SalesSummaryTable[[#This Row],[Product ID]], InventoryTable[Product ID], InventoryTable[Category])</f>
        <v>Networking</v>
      </c>
      <c r="F77" t="str">
        <f>_xlfn.XLOOKUP(SalesSummaryTable[[#This Row],[Product ID]], InventoryTable[Product ID], InventoryTable[Supplier])</f>
        <v>TechCorp</v>
      </c>
      <c r="G77">
        <v>2</v>
      </c>
      <c r="H77" s="5">
        <f>_xlfn.XLOOKUP(SalesSummaryTable[[#This Row],[Product ID]], InventoryTable[Product ID], InventoryTable[Selling Price (€)])</f>
        <v>321.79000000000002</v>
      </c>
      <c r="I77" s="2">
        <f t="shared" si="2"/>
        <v>643.58000000000004</v>
      </c>
    </row>
    <row r="78" spans="1:9" x14ac:dyDescent="0.3">
      <c r="A78" s="8" t="s">
        <v>115</v>
      </c>
      <c r="B78" s="8" t="s">
        <v>373</v>
      </c>
      <c r="C78" t="s">
        <v>13</v>
      </c>
      <c r="D78" t="s">
        <v>78</v>
      </c>
      <c r="E78" t="str">
        <f>_xlfn.XLOOKUP(SalesSummaryTable[[#This Row],[Product ID]], InventoryTable[Product ID], InventoryTable[Category])</f>
        <v>Accessories</v>
      </c>
      <c r="F78" t="str">
        <f>_xlfn.XLOOKUP(SalesSummaryTable[[#This Row],[Product ID]], InventoryTable[Product ID], InventoryTable[Supplier])</f>
        <v>Office Essentials</v>
      </c>
      <c r="G78">
        <v>2</v>
      </c>
      <c r="H78" s="5">
        <f>_xlfn.XLOOKUP(SalesSummaryTable[[#This Row],[Product ID]], InventoryTable[Product ID], InventoryTable[Selling Price (€)])</f>
        <v>163.69</v>
      </c>
      <c r="I78" s="2">
        <f t="shared" si="2"/>
        <v>327.38</v>
      </c>
    </row>
    <row r="79" spans="1:9" x14ac:dyDescent="0.3">
      <c r="A79" s="8" t="s">
        <v>333</v>
      </c>
      <c r="B79" s="8" t="s">
        <v>373</v>
      </c>
      <c r="C79" t="s">
        <v>53</v>
      </c>
      <c r="D79" t="s">
        <v>338</v>
      </c>
      <c r="E79" t="str">
        <f>_xlfn.XLOOKUP(SalesSummaryTable[[#This Row],[Product ID]], InventoryTable[Product ID], InventoryTable[Category])</f>
        <v>Accessories</v>
      </c>
      <c r="F79" t="str">
        <f>_xlfn.XLOOKUP(SalesSummaryTable[[#This Row],[Product ID]], InventoryTable[Product ID], InventoryTable[Supplier])</f>
        <v>StoragePro</v>
      </c>
      <c r="G79">
        <v>1</v>
      </c>
      <c r="H79" s="5">
        <f>_xlfn.XLOOKUP(SalesSummaryTable[[#This Row],[Product ID]], InventoryTable[Product ID], InventoryTable[Selling Price (€)])</f>
        <v>1057.68</v>
      </c>
      <c r="I79" s="2">
        <f t="shared" si="2"/>
        <v>1057.68</v>
      </c>
    </row>
    <row r="80" spans="1:9" x14ac:dyDescent="0.3">
      <c r="A80" s="8" t="s">
        <v>361</v>
      </c>
      <c r="B80" s="8" t="s">
        <v>372</v>
      </c>
      <c r="C80" t="s">
        <v>45</v>
      </c>
      <c r="D80" t="s">
        <v>81</v>
      </c>
      <c r="E80" t="str">
        <f>_xlfn.XLOOKUP(SalesSummaryTable[[#This Row],[Product ID]], InventoryTable[Product ID], InventoryTable[Category])</f>
        <v>Networking</v>
      </c>
      <c r="F80" t="str">
        <f>_xlfn.XLOOKUP(SalesSummaryTable[[#This Row],[Product ID]], InventoryTable[Product ID], InventoryTable[Supplier])</f>
        <v>NetConnect</v>
      </c>
      <c r="G80">
        <v>8</v>
      </c>
      <c r="H80" s="5">
        <f>_xlfn.XLOOKUP(SalesSummaryTable[[#This Row],[Product ID]], InventoryTable[Product ID], InventoryTable[Selling Price (€)])</f>
        <v>353.79</v>
      </c>
      <c r="I80" s="2">
        <f t="shared" si="2"/>
        <v>2830.32</v>
      </c>
    </row>
    <row r="81" spans="1:9" x14ac:dyDescent="0.3">
      <c r="A81" s="8" t="s">
        <v>244</v>
      </c>
      <c r="B81" s="8" t="s">
        <v>374</v>
      </c>
      <c r="C81" t="s">
        <v>42</v>
      </c>
      <c r="D81" t="s">
        <v>72</v>
      </c>
      <c r="E81" t="str">
        <f>_xlfn.XLOOKUP(SalesSummaryTable[[#This Row],[Product ID]], InventoryTable[Product ID], InventoryTable[Category])</f>
        <v>Office Supplies</v>
      </c>
      <c r="F81" t="str">
        <f>_xlfn.XLOOKUP(SalesSummaryTable[[#This Row],[Product ID]], InventoryTable[Product ID], InventoryTable[Supplier])</f>
        <v>StoragePro</v>
      </c>
      <c r="G81">
        <v>8</v>
      </c>
      <c r="H81" s="5">
        <f>_xlfn.XLOOKUP(SalesSummaryTable[[#This Row],[Product ID]], InventoryTable[Product ID], InventoryTable[Selling Price (€)])</f>
        <v>294.07</v>
      </c>
      <c r="I81" s="2">
        <f t="shared" si="2"/>
        <v>2352.56</v>
      </c>
    </row>
    <row r="82" spans="1:9" x14ac:dyDescent="0.3">
      <c r="A82" s="8" t="s">
        <v>182</v>
      </c>
      <c r="B82" s="8" t="s">
        <v>374</v>
      </c>
      <c r="C82" t="s">
        <v>34</v>
      </c>
      <c r="D82" t="s">
        <v>75</v>
      </c>
      <c r="E82" t="str">
        <f>_xlfn.XLOOKUP(SalesSummaryTable[[#This Row],[Product ID]], InventoryTable[Product ID], InventoryTable[Category])</f>
        <v>Office Supplies</v>
      </c>
      <c r="F82" t="str">
        <f>_xlfn.XLOOKUP(SalesSummaryTable[[#This Row],[Product ID]], InventoryTable[Product ID], InventoryTable[Supplier])</f>
        <v>Gadgets Ltd</v>
      </c>
      <c r="G82">
        <v>4</v>
      </c>
      <c r="H82" s="5">
        <f>_xlfn.XLOOKUP(SalesSummaryTable[[#This Row],[Product ID]], InventoryTable[Product ID], InventoryTable[Selling Price (€)])</f>
        <v>395.15</v>
      </c>
      <c r="I82" s="2">
        <f t="shared" si="2"/>
        <v>1580.6</v>
      </c>
    </row>
    <row r="83" spans="1:9" x14ac:dyDescent="0.3">
      <c r="A83" s="8" t="s">
        <v>364</v>
      </c>
      <c r="B83" s="8" t="s">
        <v>374</v>
      </c>
      <c r="C83" t="s">
        <v>20</v>
      </c>
      <c r="D83" t="s">
        <v>340</v>
      </c>
      <c r="E83" t="str">
        <f>_xlfn.XLOOKUP(SalesSummaryTable[[#This Row],[Product ID]], InventoryTable[Product ID], InventoryTable[Category])</f>
        <v>Storage</v>
      </c>
      <c r="F83" t="str">
        <f>_xlfn.XLOOKUP(SalesSummaryTable[[#This Row],[Product ID]], InventoryTable[Product ID], InventoryTable[Supplier])</f>
        <v>TechCorp</v>
      </c>
      <c r="G83">
        <v>6</v>
      </c>
      <c r="H83" s="5">
        <f>_xlfn.XLOOKUP(SalesSummaryTable[[#This Row],[Product ID]], InventoryTable[Product ID], InventoryTable[Selling Price (€)])</f>
        <v>910.18</v>
      </c>
      <c r="I83" s="2">
        <f t="shared" si="2"/>
        <v>5461.08</v>
      </c>
    </row>
    <row r="84" spans="1:9" x14ac:dyDescent="0.3">
      <c r="A84" s="8" t="s">
        <v>356</v>
      </c>
      <c r="B84" s="8" t="s">
        <v>374</v>
      </c>
      <c r="C84" t="s">
        <v>14</v>
      </c>
      <c r="D84" t="s">
        <v>79</v>
      </c>
      <c r="E84" t="str">
        <f>_xlfn.XLOOKUP(SalesSummaryTable[[#This Row],[Product ID]], InventoryTable[Product ID], InventoryTable[Category])</f>
        <v>Accessories</v>
      </c>
      <c r="F84" t="str">
        <f>_xlfn.XLOOKUP(SalesSummaryTable[[#This Row],[Product ID]], InventoryTable[Product ID], InventoryTable[Supplier])</f>
        <v>StoragePro</v>
      </c>
      <c r="G84">
        <v>10</v>
      </c>
      <c r="H84" s="5">
        <f>_xlfn.XLOOKUP(SalesSummaryTable[[#This Row],[Product ID]], InventoryTable[Product ID], InventoryTable[Selling Price (€)])</f>
        <v>1075.8499999999999</v>
      </c>
      <c r="I84" s="2">
        <f t="shared" si="2"/>
        <v>10758.5</v>
      </c>
    </row>
    <row r="85" spans="1:9" x14ac:dyDescent="0.3">
      <c r="A85" s="8" t="s">
        <v>157</v>
      </c>
      <c r="B85" s="8" t="s">
        <v>373</v>
      </c>
      <c r="C85" t="s">
        <v>10</v>
      </c>
      <c r="D85" t="s">
        <v>58</v>
      </c>
      <c r="E85" t="str">
        <f>_xlfn.XLOOKUP(SalesSummaryTable[[#This Row],[Product ID]], InventoryTable[Product ID], InventoryTable[Category])</f>
        <v>Accessories</v>
      </c>
      <c r="F85" t="str">
        <f>_xlfn.XLOOKUP(SalesSummaryTable[[#This Row],[Product ID]], InventoryTable[Product ID], InventoryTable[Supplier])</f>
        <v>TechCorp</v>
      </c>
      <c r="G85">
        <v>9</v>
      </c>
      <c r="H85" s="5">
        <f>_xlfn.XLOOKUP(SalesSummaryTable[[#This Row],[Product ID]], InventoryTable[Product ID], InventoryTable[Selling Price (€)])</f>
        <v>693.89</v>
      </c>
      <c r="I85" s="2">
        <f t="shared" si="2"/>
        <v>6245.01</v>
      </c>
    </row>
    <row r="86" spans="1:9" x14ac:dyDescent="0.3">
      <c r="A86" s="8" t="s">
        <v>110</v>
      </c>
      <c r="B86" s="8" t="s">
        <v>373</v>
      </c>
      <c r="C86" t="s">
        <v>16</v>
      </c>
      <c r="D86" t="s">
        <v>83</v>
      </c>
      <c r="E86" t="str">
        <f>_xlfn.XLOOKUP(SalesSummaryTable[[#This Row],[Product ID]], InventoryTable[Product ID], InventoryTable[Category])</f>
        <v>Electronics</v>
      </c>
      <c r="F86" t="str">
        <f>_xlfn.XLOOKUP(SalesSummaryTable[[#This Row],[Product ID]], InventoryTable[Product ID], InventoryTable[Supplier])</f>
        <v>StoragePro</v>
      </c>
      <c r="G86">
        <v>4</v>
      </c>
      <c r="H86" s="5">
        <f>_xlfn.XLOOKUP(SalesSummaryTable[[#This Row],[Product ID]], InventoryTable[Product ID], InventoryTable[Selling Price (€)])</f>
        <v>245.74</v>
      </c>
      <c r="I86" s="2">
        <f t="shared" si="2"/>
        <v>982.96</v>
      </c>
    </row>
    <row r="87" spans="1:9" x14ac:dyDescent="0.3">
      <c r="A87" s="8" t="s">
        <v>206</v>
      </c>
      <c r="B87" s="8" t="s">
        <v>373</v>
      </c>
      <c r="C87" t="s">
        <v>31</v>
      </c>
      <c r="D87" t="s">
        <v>339</v>
      </c>
      <c r="E87" t="str">
        <f>_xlfn.XLOOKUP(SalesSummaryTable[[#This Row],[Product ID]], InventoryTable[Product ID], InventoryTable[Category])</f>
        <v>Accessories</v>
      </c>
      <c r="F87" t="str">
        <f>_xlfn.XLOOKUP(SalesSummaryTable[[#This Row],[Product ID]], InventoryTable[Product ID], InventoryTable[Supplier])</f>
        <v>StoragePro</v>
      </c>
      <c r="G87">
        <v>1</v>
      </c>
      <c r="H87" s="5">
        <f>_xlfn.XLOOKUP(SalesSummaryTable[[#This Row],[Product ID]], InventoryTable[Product ID], InventoryTable[Selling Price (€)])</f>
        <v>917.35</v>
      </c>
      <c r="I87" s="2">
        <f t="shared" si="2"/>
        <v>917.35</v>
      </c>
    </row>
    <row r="88" spans="1:9" x14ac:dyDescent="0.3">
      <c r="A88" s="8" t="s">
        <v>150</v>
      </c>
      <c r="B88" s="8" t="s">
        <v>373</v>
      </c>
      <c r="C88" t="s">
        <v>31</v>
      </c>
      <c r="D88" t="s">
        <v>339</v>
      </c>
      <c r="E88" t="str">
        <f>_xlfn.XLOOKUP(SalesSummaryTable[[#This Row],[Product ID]], InventoryTable[Product ID], InventoryTable[Category])</f>
        <v>Accessories</v>
      </c>
      <c r="F88" t="str">
        <f>_xlfn.XLOOKUP(SalesSummaryTable[[#This Row],[Product ID]], InventoryTable[Product ID], InventoryTable[Supplier])</f>
        <v>StoragePro</v>
      </c>
      <c r="G88">
        <v>10</v>
      </c>
      <c r="H88" s="5">
        <f>_xlfn.XLOOKUP(SalesSummaryTable[[#This Row],[Product ID]], InventoryTable[Product ID], InventoryTable[Selling Price (€)])</f>
        <v>917.35</v>
      </c>
      <c r="I88" s="2">
        <f t="shared" si="2"/>
        <v>9173.5</v>
      </c>
    </row>
    <row r="89" spans="1:9" x14ac:dyDescent="0.3">
      <c r="A89" s="8" t="s">
        <v>169</v>
      </c>
      <c r="B89" s="8" t="s">
        <v>372</v>
      </c>
      <c r="C89" t="s">
        <v>17</v>
      </c>
      <c r="D89" t="s">
        <v>339</v>
      </c>
      <c r="E89" t="str">
        <f>_xlfn.XLOOKUP(SalesSummaryTable[[#This Row],[Product ID]], InventoryTable[Product ID], InventoryTable[Category])</f>
        <v>Storage</v>
      </c>
      <c r="F89" t="str">
        <f>_xlfn.XLOOKUP(SalesSummaryTable[[#This Row],[Product ID]], InventoryTable[Product ID], InventoryTable[Supplier])</f>
        <v>NetConnect</v>
      </c>
      <c r="G89">
        <v>3</v>
      </c>
      <c r="H89" s="5">
        <f>_xlfn.XLOOKUP(SalesSummaryTable[[#This Row],[Product ID]], InventoryTable[Product ID], InventoryTable[Selling Price (€)])</f>
        <v>132.94</v>
      </c>
      <c r="I89" s="2">
        <f t="shared" si="2"/>
        <v>398.82</v>
      </c>
    </row>
    <row r="90" spans="1:9" x14ac:dyDescent="0.3">
      <c r="A90" s="8" t="s">
        <v>206</v>
      </c>
      <c r="B90" s="8" t="s">
        <v>373</v>
      </c>
      <c r="C90" t="s">
        <v>50</v>
      </c>
      <c r="D90" t="s">
        <v>331</v>
      </c>
      <c r="E90" t="str">
        <f>_xlfn.XLOOKUP(SalesSummaryTable[[#This Row],[Product ID]], InventoryTable[Product ID], InventoryTable[Category])</f>
        <v>Office Supplies</v>
      </c>
      <c r="F90" t="str">
        <f>_xlfn.XLOOKUP(SalesSummaryTable[[#This Row],[Product ID]], InventoryTable[Product ID], InventoryTable[Supplier])</f>
        <v>Print Solutions</v>
      </c>
      <c r="G90">
        <v>9</v>
      </c>
      <c r="H90" s="5">
        <f>_xlfn.XLOOKUP(SalesSummaryTable[[#This Row],[Product ID]], InventoryTable[Product ID], InventoryTable[Selling Price (€)])</f>
        <v>394.87</v>
      </c>
      <c r="I90" s="2">
        <f t="shared" si="2"/>
        <v>3553.83</v>
      </c>
    </row>
    <row r="91" spans="1:9" x14ac:dyDescent="0.3">
      <c r="A91" s="8" t="s">
        <v>137</v>
      </c>
      <c r="B91" s="8" t="s">
        <v>374</v>
      </c>
      <c r="C91" t="s">
        <v>31</v>
      </c>
      <c r="D91" t="s">
        <v>339</v>
      </c>
      <c r="E91" t="str">
        <f>_xlfn.XLOOKUP(SalesSummaryTable[[#This Row],[Product ID]], InventoryTable[Product ID], InventoryTable[Category])</f>
        <v>Accessories</v>
      </c>
      <c r="F91" t="str">
        <f>_xlfn.XLOOKUP(SalesSummaryTable[[#This Row],[Product ID]], InventoryTable[Product ID], InventoryTable[Supplier])</f>
        <v>StoragePro</v>
      </c>
      <c r="G91">
        <v>7</v>
      </c>
      <c r="H91" s="5">
        <f>_xlfn.XLOOKUP(SalesSummaryTable[[#This Row],[Product ID]], InventoryTable[Product ID], InventoryTable[Selling Price (€)])</f>
        <v>917.35</v>
      </c>
      <c r="I91" s="2">
        <f t="shared" si="2"/>
        <v>6421.45</v>
      </c>
    </row>
    <row r="92" spans="1:9" x14ac:dyDescent="0.3">
      <c r="A92" s="8" t="s">
        <v>115</v>
      </c>
      <c r="B92" s="8" t="s">
        <v>373</v>
      </c>
      <c r="C92" t="s">
        <v>52</v>
      </c>
      <c r="D92" t="s">
        <v>355</v>
      </c>
      <c r="E92" t="str">
        <f>_xlfn.XLOOKUP(SalesSummaryTable[[#This Row],[Product ID]], InventoryTable[Product ID], InventoryTable[Category])</f>
        <v>Accessories</v>
      </c>
      <c r="F92" t="str">
        <f>_xlfn.XLOOKUP(SalesSummaryTable[[#This Row],[Product ID]], InventoryTable[Product ID], InventoryTable[Supplier])</f>
        <v>Gadgets Ltd</v>
      </c>
      <c r="G92">
        <v>3</v>
      </c>
      <c r="H92" s="5">
        <f>_xlfn.XLOOKUP(SalesSummaryTable[[#This Row],[Product ID]], InventoryTable[Product ID], InventoryTable[Selling Price (€)])</f>
        <v>554.55999999999995</v>
      </c>
      <c r="I92" s="2">
        <f t="shared" si="2"/>
        <v>1663.6799999999998</v>
      </c>
    </row>
    <row r="93" spans="1:9" x14ac:dyDescent="0.3">
      <c r="A93" s="8" t="s">
        <v>182</v>
      </c>
      <c r="B93" s="8" t="s">
        <v>374</v>
      </c>
      <c r="C93" t="s">
        <v>51</v>
      </c>
      <c r="D93" t="s">
        <v>338</v>
      </c>
      <c r="E93" t="str">
        <f>_xlfn.XLOOKUP(SalesSummaryTable[[#This Row],[Product ID]], InventoryTable[Product ID], InventoryTable[Category])</f>
        <v>Networking</v>
      </c>
      <c r="F93" t="str">
        <f>_xlfn.XLOOKUP(SalesSummaryTable[[#This Row],[Product ID]], InventoryTable[Product ID], InventoryTable[Supplier])</f>
        <v>TechCorp</v>
      </c>
      <c r="G93">
        <v>2</v>
      </c>
      <c r="H93" s="5">
        <f>_xlfn.XLOOKUP(SalesSummaryTable[[#This Row],[Product ID]], InventoryTable[Product ID], InventoryTable[Selling Price (€)])</f>
        <v>316.54000000000002</v>
      </c>
      <c r="I93" s="2">
        <f t="shared" si="2"/>
        <v>633.08000000000004</v>
      </c>
    </row>
    <row r="94" spans="1:9" x14ac:dyDescent="0.3">
      <c r="A94" s="8" t="s">
        <v>363</v>
      </c>
      <c r="B94" s="8" t="s">
        <v>374</v>
      </c>
      <c r="C94" t="s">
        <v>33</v>
      </c>
      <c r="D94" t="s">
        <v>359</v>
      </c>
      <c r="E94" t="str">
        <f>_xlfn.XLOOKUP(SalesSummaryTable[[#This Row],[Product ID]], InventoryTable[Product ID], InventoryTable[Category])</f>
        <v>Networking</v>
      </c>
      <c r="F94" t="str">
        <f>_xlfn.XLOOKUP(SalesSummaryTable[[#This Row],[Product ID]], InventoryTable[Product ID], InventoryTable[Supplier])</f>
        <v>NetConnect</v>
      </c>
      <c r="G94">
        <v>5</v>
      </c>
      <c r="H94" s="5">
        <f>_xlfn.XLOOKUP(SalesSummaryTable[[#This Row],[Product ID]], InventoryTable[Product ID], InventoryTable[Selling Price (€)])</f>
        <v>628.86</v>
      </c>
      <c r="I94" s="2">
        <f t="shared" si="2"/>
        <v>3144.3</v>
      </c>
    </row>
    <row r="95" spans="1:9" x14ac:dyDescent="0.3">
      <c r="A95" s="8" t="s">
        <v>366</v>
      </c>
      <c r="B95" s="8" t="s">
        <v>373</v>
      </c>
      <c r="C95" t="s">
        <v>54</v>
      </c>
      <c r="D95" t="s">
        <v>60</v>
      </c>
      <c r="E95" t="str">
        <f>_xlfn.XLOOKUP(SalesSummaryTable[[#This Row],[Product ID]], InventoryTable[Product ID], InventoryTable[Category])</f>
        <v>Networking</v>
      </c>
      <c r="F95" t="str">
        <f>_xlfn.XLOOKUP(SalesSummaryTable[[#This Row],[Product ID]], InventoryTable[Product ID], InventoryTable[Supplier])</f>
        <v>NetConnect</v>
      </c>
      <c r="G95">
        <v>7</v>
      </c>
      <c r="H95" s="5">
        <f>_xlfn.XLOOKUP(SalesSummaryTable[[#This Row],[Product ID]], InventoryTable[Product ID], InventoryTable[Selling Price (€)])</f>
        <v>911.95</v>
      </c>
      <c r="I95" s="2">
        <f t="shared" si="2"/>
        <v>6383.6500000000005</v>
      </c>
    </row>
    <row r="96" spans="1:9" x14ac:dyDescent="0.3">
      <c r="A96" s="8" t="s">
        <v>367</v>
      </c>
      <c r="B96" s="8" t="s">
        <v>373</v>
      </c>
      <c r="C96" t="s">
        <v>24</v>
      </c>
      <c r="D96" t="s">
        <v>360</v>
      </c>
      <c r="E96" t="str">
        <f>_xlfn.XLOOKUP(SalesSummaryTable[[#This Row],[Product ID]], InventoryTable[Product ID], InventoryTable[Category])</f>
        <v>Office Supplies</v>
      </c>
      <c r="F96" t="str">
        <f>_xlfn.XLOOKUP(SalesSummaryTable[[#This Row],[Product ID]], InventoryTable[Product ID], InventoryTable[Supplier])</f>
        <v>Office Essentials</v>
      </c>
      <c r="G96">
        <v>8</v>
      </c>
      <c r="H96" s="5">
        <f>_xlfn.XLOOKUP(SalesSummaryTable[[#This Row],[Product ID]], InventoryTable[Product ID], InventoryTable[Selling Price (€)])</f>
        <v>343.35</v>
      </c>
      <c r="I96" s="2">
        <f t="shared" si="2"/>
        <v>2746.8</v>
      </c>
    </row>
    <row r="97" spans="1:9" x14ac:dyDescent="0.3">
      <c r="A97" s="8" t="s">
        <v>366</v>
      </c>
      <c r="B97" s="8" t="s">
        <v>373</v>
      </c>
      <c r="C97" t="s">
        <v>27</v>
      </c>
      <c r="D97" t="s">
        <v>62</v>
      </c>
      <c r="E97" t="str">
        <f>_xlfn.XLOOKUP(SalesSummaryTable[[#This Row],[Product ID]], InventoryTable[Product ID], InventoryTable[Category])</f>
        <v>Storage</v>
      </c>
      <c r="F97" t="str">
        <f>_xlfn.XLOOKUP(SalesSummaryTable[[#This Row],[Product ID]], InventoryTable[Product ID], InventoryTable[Supplier])</f>
        <v>Gadgets Ltd</v>
      </c>
      <c r="G97">
        <v>10</v>
      </c>
      <c r="H97" s="5">
        <f>_xlfn.XLOOKUP(SalesSummaryTable[[#This Row],[Product ID]], InventoryTable[Product ID], InventoryTable[Selling Price (€)])</f>
        <v>224.56</v>
      </c>
      <c r="I97" s="2">
        <f t="shared" si="2"/>
        <v>2245.6</v>
      </c>
    </row>
    <row r="98" spans="1:9" x14ac:dyDescent="0.3">
      <c r="A98" s="8" t="s">
        <v>352</v>
      </c>
      <c r="B98" s="8" t="s">
        <v>374</v>
      </c>
      <c r="C98" t="s">
        <v>56</v>
      </c>
      <c r="D98" t="s">
        <v>77</v>
      </c>
      <c r="E98" t="str">
        <f>_xlfn.XLOOKUP(SalesSummaryTable[[#This Row],[Product ID]], InventoryTable[Product ID], InventoryTable[Category])</f>
        <v>Accessories</v>
      </c>
      <c r="F98" t="str">
        <f>_xlfn.XLOOKUP(SalesSummaryTable[[#This Row],[Product ID]], InventoryTable[Product ID], InventoryTable[Supplier])</f>
        <v>StoragePro</v>
      </c>
      <c r="G98">
        <v>4</v>
      </c>
      <c r="H98" s="5">
        <f>_xlfn.XLOOKUP(SalesSummaryTable[[#This Row],[Product ID]], InventoryTable[Product ID], InventoryTable[Selling Price (€)])</f>
        <v>968.59</v>
      </c>
      <c r="I98" s="2">
        <f>G98*H98</f>
        <v>3874.36</v>
      </c>
    </row>
    <row r="99" spans="1:9" x14ac:dyDescent="0.3">
      <c r="A99" s="8" t="s">
        <v>131</v>
      </c>
      <c r="B99" s="8" t="s">
        <v>373</v>
      </c>
      <c r="C99" t="s">
        <v>17</v>
      </c>
      <c r="D99" t="s">
        <v>339</v>
      </c>
      <c r="E99" t="str">
        <f>_xlfn.XLOOKUP(SalesSummaryTable[[#This Row],[Product ID]], InventoryTable[Product ID], InventoryTable[Category])</f>
        <v>Storage</v>
      </c>
      <c r="F99" t="str">
        <f>_xlfn.XLOOKUP(SalesSummaryTable[[#This Row],[Product ID]], InventoryTable[Product ID], InventoryTable[Supplier])</f>
        <v>NetConnect</v>
      </c>
      <c r="G99">
        <v>6</v>
      </c>
      <c r="H99" s="5">
        <f>_xlfn.XLOOKUP(SalesSummaryTable[[#This Row],[Product ID]], InventoryTable[Product ID], InventoryTable[Selling Price (€)])</f>
        <v>132.94</v>
      </c>
      <c r="I99" s="2">
        <f>G99*H99</f>
        <v>797.64</v>
      </c>
    </row>
    <row r="100" spans="1:9" x14ac:dyDescent="0.3">
      <c r="A100" s="8" t="s">
        <v>351</v>
      </c>
      <c r="B100" s="8" t="s">
        <v>372</v>
      </c>
      <c r="C100" t="s">
        <v>16</v>
      </c>
      <c r="D100" t="s">
        <v>83</v>
      </c>
      <c r="E100" t="str">
        <f>_xlfn.XLOOKUP(SalesSummaryTable[[#This Row],[Product ID]], InventoryTable[Product ID], InventoryTable[Category])</f>
        <v>Electronics</v>
      </c>
      <c r="F100" t="str">
        <f>_xlfn.XLOOKUP(SalesSummaryTable[[#This Row],[Product ID]], InventoryTable[Product ID], InventoryTable[Supplier])</f>
        <v>StoragePro</v>
      </c>
      <c r="G100">
        <v>3</v>
      </c>
      <c r="H100" s="5">
        <f>_xlfn.XLOOKUP(SalesSummaryTable[[#This Row],[Product ID]], InventoryTable[Product ID], InventoryTable[Selling Price (€)])</f>
        <v>245.74</v>
      </c>
      <c r="I100" s="2">
        <f>G100*H100</f>
        <v>737.22</v>
      </c>
    </row>
    <row r="101" spans="1:9" x14ac:dyDescent="0.3">
      <c r="A101" s="8" t="s">
        <v>123</v>
      </c>
      <c r="B101" s="8" t="s">
        <v>373</v>
      </c>
      <c r="C101" t="s">
        <v>13</v>
      </c>
      <c r="D101" t="s">
        <v>78</v>
      </c>
      <c r="E101" t="str">
        <f>_xlfn.XLOOKUP(SalesSummaryTable[[#This Row],[Product ID]], InventoryTable[Product ID], InventoryTable[Category])</f>
        <v>Accessories</v>
      </c>
      <c r="F101" t="str">
        <f>_xlfn.XLOOKUP(SalesSummaryTable[[#This Row],[Product ID]], InventoryTable[Product ID], InventoryTable[Supplier])</f>
        <v>Office Essentials</v>
      </c>
      <c r="G101">
        <v>6</v>
      </c>
      <c r="H101" s="5">
        <f>_xlfn.XLOOKUP(SalesSummaryTable[[#This Row],[Product ID]], InventoryTable[Product ID], InventoryTable[Selling Price (€)])</f>
        <v>163.69</v>
      </c>
      <c r="I101" s="2">
        <f>G101*H101</f>
        <v>982.14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00B6D-8BD1-4B2C-8060-F283C9379AD5}">
  <sheetPr codeName="Sheet6"/>
  <dimension ref="A1:P46"/>
  <sheetViews>
    <sheetView workbookViewId="0">
      <selection activeCell="O6" sqref="O6"/>
    </sheetView>
  </sheetViews>
  <sheetFormatPr defaultRowHeight="14.4" x14ac:dyDescent="0.3"/>
  <cols>
    <col min="1" max="1" width="18.77734375" bestFit="1" customWidth="1"/>
    <col min="2" max="3" width="19.33203125" bestFit="1" customWidth="1"/>
    <col min="7" max="7" width="11" bestFit="1" customWidth="1"/>
    <col min="8" max="8" width="19.33203125" bestFit="1" customWidth="1"/>
    <col min="9" max="9" width="19.109375" bestFit="1" customWidth="1"/>
    <col min="11" max="11" width="18" bestFit="1" customWidth="1"/>
    <col min="12" max="12" width="19.33203125" bestFit="1" customWidth="1"/>
    <col min="13" max="13" width="13.44140625" bestFit="1" customWidth="1"/>
    <col min="14" max="14" width="19.33203125" bestFit="1" customWidth="1"/>
    <col min="15" max="15" width="14.6640625" bestFit="1" customWidth="1"/>
    <col min="16" max="16" width="19.33203125" bestFit="1" customWidth="1"/>
  </cols>
  <sheetData>
    <row r="1" spans="1:16" x14ac:dyDescent="0.3">
      <c r="A1" s="6" t="s">
        <v>1</v>
      </c>
      <c r="B1" t="s">
        <v>370</v>
      </c>
      <c r="G1" s="6" t="s">
        <v>376</v>
      </c>
      <c r="H1" t="s">
        <v>370</v>
      </c>
      <c r="K1" s="6" t="s">
        <v>377</v>
      </c>
      <c r="L1" t="s">
        <v>370</v>
      </c>
      <c r="O1" s="6" t="s">
        <v>3</v>
      </c>
      <c r="P1" t="s">
        <v>370</v>
      </c>
    </row>
    <row r="2" spans="1:16" x14ac:dyDescent="0.3">
      <c r="A2" s="7" t="s">
        <v>88</v>
      </c>
      <c r="B2" s="2">
        <v>28152.809999999998</v>
      </c>
      <c r="G2" s="7" t="s">
        <v>373</v>
      </c>
      <c r="H2" s="2">
        <v>88257.91</v>
      </c>
      <c r="K2" s="7" t="s">
        <v>89</v>
      </c>
      <c r="L2" s="2">
        <v>85600.2</v>
      </c>
      <c r="O2" s="7" t="s">
        <v>97</v>
      </c>
      <c r="P2" s="2">
        <v>8992.1</v>
      </c>
    </row>
    <row r="3" spans="1:16" x14ac:dyDescent="0.3">
      <c r="A3" s="7" t="s">
        <v>79</v>
      </c>
      <c r="B3" s="2">
        <v>21517</v>
      </c>
      <c r="G3" s="7" t="s">
        <v>372</v>
      </c>
      <c r="H3" s="2">
        <v>66260.91</v>
      </c>
      <c r="K3" s="7" t="s">
        <v>90</v>
      </c>
      <c r="L3" s="2">
        <v>37888.960000000006</v>
      </c>
      <c r="O3" s="7" t="s">
        <v>100</v>
      </c>
      <c r="P3" s="2">
        <v>68199.44</v>
      </c>
    </row>
    <row r="4" spans="1:16" x14ac:dyDescent="0.3">
      <c r="A4" s="7" t="s">
        <v>340</v>
      </c>
      <c r="B4" s="2">
        <v>20934.14</v>
      </c>
      <c r="G4" s="7" t="s">
        <v>374</v>
      </c>
      <c r="H4" s="2">
        <v>125799.88999999998</v>
      </c>
      <c r="K4" s="7" t="s">
        <v>91</v>
      </c>
      <c r="L4" s="2">
        <v>52322.970000000008</v>
      </c>
      <c r="O4" s="7" t="s">
        <v>99</v>
      </c>
      <c r="P4" s="2">
        <v>43136.320000000007</v>
      </c>
    </row>
    <row r="5" spans="1:16" x14ac:dyDescent="0.3">
      <c r="A5" s="7" t="s">
        <v>339</v>
      </c>
      <c r="B5" s="2">
        <v>18905.219999999998</v>
      </c>
      <c r="G5" s="7" t="s">
        <v>368</v>
      </c>
      <c r="H5" s="2">
        <v>280318.70999999996</v>
      </c>
      <c r="K5" s="7" t="s">
        <v>92</v>
      </c>
      <c r="L5" s="2">
        <v>64498.270000000004</v>
      </c>
      <c r="O5" s="7" t="s">
        <v>95</v>
      </c>
      <c r="P5" s="2">
        <v>27840.969999999998</v>
      </c>
    </row>
    <row r="6" spans="1:16" x14ac:dyDescent="0.3">
      <c r="A6" s="7" t="s">
        <v>81</v>
      </c>
      <c r="B6" s="2">
        <v>16560.490000000002</v>
      </c>
      <c r="K6" s="7" t="s">
        <v>93</v>
      </c>
      <c r="L6" s="2">
        <v>40008.31</v>
      </c>
      <c r="O6" s="7" t="s">
        <v>94</v>
      </c>
      <c r="P6" s="2">
        <v>16258.930000000002</v>
      </c>
    </row>
    <row r="7" spans="1:16" x14ac:dyDescent="0.3">
      <c r="A7" s="7" t="s">
        <v>77</v>
      </c>
      <c r="B7" s="2">
        <v>15497.44</v>
      </c>
      <c r="K7" s="7" t="s">
        <v>368</v>
      </c>
      <c r="L7" s="2">
        <v>280318.71000000002</v>
      </c>
      <c r="O7" s="7" t="s">
        <v>98</v>
      </c>
      <c r="P7" s="2">
        <v>79729.850000000006</v>
      </c>
    </row>
    <row r="8" spans="1:16" x14ac:dyDescent="0.3">
      <c r="A8" s="7" t="s">
        <v>70</v>
      </c>
      <c r="B8" s="2">
        <v>14653.679999999998</v>
      </c>
      <c r="O8" s="7" t="s">
        <v>96</v>
      </c>
      <c r="P8" s="2">
        <v>36161.100000000006</v>
      </c>
    </row>
    <row r="9" spans="1:16" x14ac:dyDescent="0.3">
      <c r="A9" s="7" t="s">
        <v>71</v>
      </c>
      <c r="B9" s="2">
        <v>12723.999999999998</v>
      </c>
      <c r="O9" s="7" t="s">
        <v>368</v>
      </c>
      <c r="P9" s="2">
        <v>280318.71000000002</v>
      </c>
    </row>
    <row r="10" spans="1:16" x14ac:dyDescent="0.3">
      <c r="A10" s="7" t="s">
        <v>75</v>
      </c>
      <c r="B10" s="2">
        <v>12235.460000000001</v>
      </c>
    </row>
    <row r="11" spans="1:16" x14ac:dyDescent="0.3">
      <c r="A11" s="7" t="s">
        <v>331</v>
      </c>
      <c r="B11" s="2">
        <v>10405.700000000001</v>
      </c>
    </row>
    <row r="12" spans="1:16" x14ac:dyDescent="0.3">
      <c r="A12" s="7" t="s">
        <v>355</v>
      </c>
      <c r="B12" s="2">
        <v>9831.0399999999991</v>
      </c>
    </row>
    <row r="13" spans="1:16" x14ac:dyDescent="0.3">
      <c r="A13" s="7" t="s">
        <v>359</v>
      </c>
      <c r="B13" s="2">
        <v>9432.9000000000015</v>
      </c>
    </row>
    <row r="14" spans="1:16" x14ac:dyDescent="0.3">
      <c r="A14" s="7" t="s">
        <v>63</v>
      </c>
      <c r="B14" s="2">
        <v>8997.1200000000008</v>
      </c>
      <c r="G14" s="6" t="s">
        <v>1</v>
      </c>
      <c r="H14" t="s">
        <v>378</v>
      </c>
      <c r="I14" t="s">
        <v>369</v>
      </c>
    </row>
    <row r="15" spans="1:16" x14ac:dyDescent="0.3">
      <c r="A15" s="7" t="s">
        <v>78</v>
      </c>
      <c r="B15" s="2">
        <v>8842.7800000000007</v>
      </c>
      <c r="G15" s="7" t="s">
        <v>75</v>
      </c>
      <c r="H15">
        <v>93</v>
      </c>
      <c r="I15">
        <v>19</v>
      </c>
    </row>
    <row r="16" spans="1:16" x14ac:dyDescent="0.3">
      <c r="A16" s="7" t="s">
        <v>76</v>
      </c>
      <c r="B16" s="2">
        <v>7373.6600000000008</v>
      </c>
      <c r="G16" s="7" t="s">
        <v>60</v>
      </c>
      <c r="H16">
        <v>220</v>
      </c>
      <c r="I16">
        <v>33</v>
      </c>
    </row>
    <row r="17" spans="1:9" x14ac:dyDescent="0.3">
      <c r="A17" s="7" t="s">
        <v>60</v>
      </c>
      <c r="B17" s="2">
        <v>7295.6</v>
      </c>
      <c r="G17" s="7" t="s">
        <v>88</v>
      </c>
      <c r="H17">
        <v>118</v>
      </c>
      <c r="I17">
        <v>7</v>
      </c>
    </row>
    <row r="18" spans="1:9" x14ac:dyDescent="0.3">
      <c r="A18" s="7" t="s">
        <v>360</v>
      </c>
      <c r="B18" s="2">
        <v>7210.35</v>
      </c>
      <c r="G18" s="7" t="s">
        <v>87</v>
      </c>
      <c r="H18">
        <v>245</v>
      </c>
      <c r="I18">
        <v>20</v>
      </c>
    </row>
    <row r="19" spans="1:9" x14ac:dyDescent="0.3">
      <c r="A19" s="7" t="s">
        <v>72</v>
      </c>
      <c r="B19" s="2">
        <v>6763.6100000000006</v>
      </c>
      <c r="G19" s="7" t="s">
        <v>78</v>
      </c>
      <c r="H19">
        <v>204</v>
      </c>
      <c r="I19">
        <v>13</v>
      </c>
    </row>
    <row r="20" spans="1:9" x14ac:dyDescent="0.3">
      <c r="A20" s="7" t="s">
        <v>83</v>
      </c>
      <c r="B20" s="2">
        <v>6641.18</v>
      </c>
      <c r="G20" s="7" t="s">
        <v>70</v>
      </c>
      <c r="H20">
        <v>129</v>
      </c>
      <c r="I20">
        <v>8</v>
      </c>
    </row>
    <row r="21" spans="1:9" x14ac:dyDescent="0.3">
      <c r="A21" s="7" t="s">
        <v>58</v>
      </c>
      <c r="B21" s="2">
        <v>6245.01</v>
      </c>
      <c r="G21" s="7" t="s">
        <v>67</v>
      </c>
      <c r="H21">
        <v>188</v>
      </c>
      <c r="I21">
        <v>29</v>
      </c>
    </row>
    <row r="22" spans="1:9" x14ac:dyDescent="0.3">
      <c r="A22" s="7" t="s">
        <v>67</v>
      </c>
      <c r="B22" s="2">
        <v>5712.68</v>
      </c>
      <c r="G22" s="7" t="s">
        <v>82</v>
      </c>
      <c r="H22">
        <v>91</v>
      </c>
      <c r="I22">
        <v>21</v>
      </c>
    </row>
    <row r="23" spans="1:9" x14ac:dyDescent="0.3">
      <c r="A23" s="7" t="s">
        <v>345</v>
      </c>
      <c r="B23" s="2">
        <v>4028.56</v>
      </c>
      <c r="G23" s="7" t="s">
        <v>68</v>
      </c>
      <c r="H23">
        <v>325</v>
      </c>
      <c r="I23">
        <v>22</v>
      </c>
    </row>
    <row r="24" spans="1:9" x14ac:dyDescent="0.3">
      <c r="A24" s="7" t="s">
        <v>69</v>
      </c>
      <c r="B24" s="2">
        <v>3501.16</v>
      </c>
      <c r="G24" s="7" t="s">
        <v>74</v>
      </c>
      <c r="H24">
        <v>83</v>
      </c>
      <c r="I24">
        <v>21</v>
      </c>
    </row>
    <row r="25" spans="1:9" x14ac:dyDescent="0.3">
      <c r="A25" s="7" t="s">
        <v>347</v>
      </c>
      <c r="B25" s="2">
        <v>2918.08</v>
      </c>
      <c r="G25" s="7" t="s">
        <v>58</v>
      </c>
      <c r="H25">
        <v>255</v>
      </c>
      <c r="I25">
        <v>21</v>
      </c>
    </row>
    <row r="26" spans="1:9" x14ac:dyDescent="0.3">
      <c r="A26" s="7" t="s">
        <v>59</v>
      </c>
      <c r="B26" s="2">
        <v>2720.79</v>
      </c>
      <c r="G26" s="7" t="s">
        <v>66</v>
      </c>
      <c r="H26">
        <v>114</v>
      </c>
      <c r="I26">
        <v>43</v>
      </c>
    </row>
    <row r="27" spans="1:9" x14ac:dyDescent="0.3">
      <c r="A27" s="7" t="s">
        <v>62</v>
      </c>
      <c r="B27" s="2">
        <v>2245.6</v>
      </c>
      <c r="G27" s="7" t="s">
        <v>61</v>
      </c>
      <c r="H27">
        <v>97</v>
      </c>
      <c r="I27">
        <v>6</v>
      </c>
    </row>
    <row r="28" spans="1:9" x14ac:dyDescent="0.3">
      <c r="A28" s="7" t="s">
        <v>338</v>
      </c>
      <c r="B28" s="2">
        <v>2007.3000000000002</v>
      </c>
      <c r="G28" s="7" t="s">
        <v>72</v>
      </c>
      <c r="H28">
        <v>150</v>
      </c>
      <c r="I28">
        <v>21</v>
      </c>
    </row>
    <row r="29" spans="1:9" x14ac:dyDescent="0.3">
      <c r="A29" s="7" t="s">
        <v>349</v>
      </c>
      <c r="B29" s="2">
        <v>1618.44</v>
      </c>
      <c r="G29" s="7" t="s">
        <v>83</v>
      </c>
      <c r="H29">
        <v>59</v>
      </c>
      <c r="I29">
        <v>1</v>
      </c>
    </row>
    <row r="30" spans="1:9" x14ac:dyDescent="0.3">
      <c r="A30" s="7" t="s">
        <v>354</v>
      </c>
      <c r="B30" s="2">
        <v>1194.27</v>
      </c>
      <c r="G30" s="7" t="s">
        <v>81</v>
      </c>
      <c r="H30">
        <v>84</v>
      </c>
      <c r="I30">
        <v>23</v>
      </c>
    </row>
    <row r="31" spans="1:9" x14ac:dyDescent="0.3">
      <c r="A31" s="7" t="s">
        <v>85</v>
      </c>
      <c r="B31" s="2">
        <v>891.67000000000007</v>
      </c>
      <c r="G31" s="7" t="s">
        <v>73</v>
      </c>
      <c r="H31">
        <v>487</v>
      </c>
      <c r="I31">
        <v>23</v>
      </c>
    </row>
    <row r="32" spans="1:9" x14ac:dyDescent="0.3">
      <c r="A32" s="7" t="s">
        <v>335</v>
      </c>
      <c r="B32" s="2">
        <v>884.42</v>
      </c>
      <c r="G32" s="7" t="s">
        <v>79</v>
      </c>
      <c r="H32">
        <v>56</v>
      </c>
      <c r="I32">
        <v>12</v>
      </c>
    </row>
    <row r="33" spans="1:9" x14ac:dyDescent="0.3">
      <c r="A33" s="7" t="s">
        <v>84</v>
      </c>
      <c r="B33" s="2">
        <v>759.45</v>
      </c>
      <c r="G33" s="7" t="s">
        <v>69</v>
      </c>
      <c r="H33">
        <v>176</v>
      </c>
      <c r="I33">
        <v>23</v>
      </c>
    </row>
    <row r="34" spans="1:9" x14ac:dyDescent="0.3">
      <c r="A34" s="7" t="s">
        <v>350</v>
      </c>
      <c r="B34" s="2">
        <v>744.22</v>
      </c>
      <c r="G34" s="7" t="s">
        <v>86</v>
      </c>
      <c r="H34">
        <v>79</v>
      </c>
      <c r="I34">
        <v>11</v>
      </c>
    </row>
    <row r="35" spans="1:9" x14ac:dyDescent="0.3">
      <c r="A35" s="7" t="s">
        <v>365</v>
      </c>
      <c r="B35" s="2">
        <v>643.58000000000004</v>
      </c>
      <c r="G35" s="7" t="s">
        <v>59</v>
      </c>
      <c r="H35">
        <v>0</v>
      </c>
      <c r="I35">
        <v>25</v>
      </c>
    </row>
    <row r="36" spans="1:9" x14ac:dyDescent="0.3">
      <c r="A36" s="7" t="s">
        <v>82</v>
      </c>
      <c r="B36" s="2">
        <v>229.3</v>
      </c>
      <c r="G36" s="7" t="s">
        <v>71</v>
      </c>
      <c r="H36">
        <v>349</v>
      </c>
      <c r="I36">
        <v>19</v>
      </c>
    </row>
    <row r="37" spans="1:9" x14ac:dyDescent="0.3">
      <c r="A37" s="7" t="s">
        <v>368</v>
      </c>
      <c r="B37" s="2">
        <v>280318.70999999996</v>
      </c>
      <c r="G37" s="7" t="s">
        <v>77</v>
      </c>
      <c r="H37">
        <v>99</v>
      </c>
      <c r="I37">
        <v>4</v>
      </c>
    </row>
    <row r="38" spans="1:9" x14ac:dyDescent="0.3">
      <c r="G38" s="7" t="s">
        <v>62</v>
      </c>
      <c r="H38">
        <v>35</v>
      </c>
      <c r="I38">
        <v>2</v>
      </c>
    </row>
    <row r="39" spans="1:9" x14ac:dyDescent="0.3">
      <c r="G39" s="7" t="s">
        <v>76</v>
      </c>
      <c r="H39">
        <v>194</v>
      </c>
      <c r="I39">
        <v>11</v>
      </c>
    </row>
    <row r="40" spans="1:9" x14ac:dyDescent="0.3">
      <c r="G40" s="7" t="s">
        <v>85</v>
      </c>
      <c r="H40">
        <v>280</v>
      </c>
      <c r="I40">
        <v>8</v>
      </c>
    </row>
    <row r="41" spans="1:9" x14ac:dyDescent="0.3">
      <c r="G41" s="7" t="s">
        <v>64</v>
      </c>
      <c r="H41">
        <v>458</v>
      </c>
      <c r="I41">
        <v>29</v>
      </c>
    </row>
    <row r="42" spans="1:9" x14ac:dyDescent="0.3">
      <c r="G42" s="7" t="s">
        <v>65</v>
      </c>
      <c r="H42">
        <v>179</v>
      </c>
      <c r="I42">
        <v>17</v>
      </c>
    </row>
    <row r="43" spans="1:9" x14ac:dyDescent="0.3">
      <c r="G43" s="7" t="s">
        <v>84</v>
      </c>
      <c r="H43">
        <v>55</v>
      </c>
      <c r="I43">
        <v>18</v>
      </c>
    </row>
    <row r="44" spans="1:9" x14ac:dyDescent="0.3">
      <c r="G44" s="7" t="s">
        <v>80</v>
      </c>
      <c r="H44">
        <v>135</v>
      </c>
      <c r="I44">
        <v>9</v>
      </c>
    </row>
    <row r="45" spans="1:9" x14ac:dyDescent="0.3">
      <c r="G45" s="7" t="s">
        <v>63</v>
      </c>
      <c r="H45">
        <v>319</v>
      </c>
      <c r="I45">
        <v>11</v>
      </c>
    </row>
    <row r="46" spans="1:9" x14ac:dyDescent="0.3">
      <c r="G46" s="7" t="s">
        <v>368</v>
      </c>
      <c r="H46">
        <v>5356</v>
      </c>
      <c r="I46">
        <v>530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6CEBD-D927-4DB7-B33E-5FF8C610D437}">
  <sheetPr codeName="Sheet7"/>
  <dimension ref="A1:E7"/>
  <sheetViews>
    <sheetView tabSelected="1" workbookViewId="0">
      <selection activeCell="L31" sqref="L31"/>
    </sheetView>
  </sheetViews>
  <sheetFormatPr defaultRowHeight="14.4" x14ac:dyDescent="0.3"/>
  <cols>
    <col min="1" max="1" width="9.77734375" bestFit="1" customWidth="1"/>
    <col min="2" max="2" width="19.21875" bestFit="1" customWidth="1"/>
    <col min="3" max="3" width="13.44140625" bestFit="1" customWidth="1"/>
    <col min="4" max="4" width="14.6640625" bestFit="1" customWidth="1"/>
    <col min="5" max="5" width="12.21875" bestFit="1" customWidth="1"/>
  </cols>
  <sheetData>
    <row r="1" spans="1:5" x14ac:dyDescent="0.3">
      <c r="A1" t="s">
        <v>0</v>
      </c>
      <c r="B1" t="s">
        <v>1</v>
      </c>
      <c r="C1" t="s">
        <v>2</v>
      </c>
      <c r="D1" t="s">
        <v>3</v>
      </c>
      <c r="E1" t="s">
        <v>266</v>
      </c>
    </row>
    <row r="2" spans="1:5" x14ac:dyDescent="0.3">
      <c r="A2" t="s">
        <v>9</v>
      </c>
      <c r="B2" t="s">
        <v>59</v>
      </c>
      <c r="C2" t="s">
        <v>90</v>
      </c>
      <c r="D2" t="s">
        <v>95</v>
      </c>
      <c r="E2">
        <v>0</v>
      </c>
    </row>
    <row r="3" spans="1:5" x14ac:dyDescent="0.3">
      <c r="A3" t="s">
        <v>26</v>
      </c>
      <c r="B3" t="s">
        <v>68</v>
      </c>
      <c r="C3" t="s">
        <v>90</v>
      </c>
      <c r="D3" t="s">
        <v>96</v>
      </c>
      <c r="E3">
        <v>17</v>
      </c>
    </row>
    <row r="4" spans="1:5" x14ac:dyDescent="0.3">
      <c r="A4" t="s">
        <v>29</v>
      </c>
      <c r="B4" t="s">
        <v>60</v>
      </c>
      <c r="C4" t="s">
        <v>92</v>
      </c>
      <c r="D4" t="s">
        <v>96</v>
      </c>
      <c r="E4">
        <v>27</v>
      </c>
    </row>
    <row r="5" spans="1:5" x14ac:dyDescent="0.3">
      <c r="A5" t="s">
        <v>31</v>
      </c>
      <c r="B5" t="s">
        <v>74</v>
      </c>
      <c r="C5" t="s">
        <v>89</v>
      </c>
      <c r="D5" t="s">
        <v>98</v>
      </c>
      <c r="E5">
        <v>2</v>
      </c>
    </row>
    <row r="6" spans="1:5" x14ac:dyDescent="0.3">
      <c r="A6" t="s">
        <v>35</v>
      </c>
      <c r="B6" t="s">
        <v>77</v>
      </c>
      <c r="C6" t="s">
        <v>92</v>
      </c>
      <c r="D6" t="s">
        <v>100</v>
      </c>
      <c r="E6">
        <v>12</v>
      </c>
    </row>
    <row r="7" spans="1:5" x14ac:dyDescent="0.3">
      <c r="A7" t="s">
        <v>52</v>
      </c>
      <c r="B7" t="s">
        <v>66</v>
      </c>
      <c r="C7" t="s">
        <v>89</v>
      </c>
      <c r="D7" t="s">
        <v>100</v>
      </c>
      <c r="E7">
        <v>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Generate_Low_Stock_Report">
                <anchor moveWithCells="1" sizeWithCells="1">
                  <from>
                    <xdr:col>8</xdr:col>
                    <xdr:colOff>182880</xdr:colOff>
                    <xdr:row>1</xdr:row>
                    <xdr:rowOff>76200</xdr:rowOff>
                  </from>
                  <to>
                    <xdr:col>10</xdr:col>
                    <xdr:colOff>365760</xdr:colOff>
                    <xdr:row>3</xdr:row>
                    <xdr:rowOff>30480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  �  �  �  �  �  �  �  �  �  �  �  �  �  �  �  �  �  �  �  �  �  �  �  �  �  �  �  �  �  �  �  �  �  �  �  �  �  �  �  �  �  �  �  �  �  �  �  �  �  �  �  �  �  �  �  �  �  �  �  
</file>

<file path=customXml/item5.xml>�� 
</file>

<file path=customXml/item6.xml>�� 
</file>

<file path=customXml/item7.xml>�� 
</file>

<file path=customXml/item8.xml>�� 
</file>

<file path=customXml/item9.xml>�� �  �  �  �  
</file>

<file path=customXml/item10.xml>�� �  �  �  �  
</file>

<file path=customXml/item11.xml>�� 
</file>

<file path=customXml/item12.xml>�� 
</file>

<file path=customXml/item13.xml>�� 
</file>

<file path=customXml/item14.xml>�� 
</file>

<file path=customXml/item15.xml>�� 
</file>

<file path=customXml/item16.xml>�� 
</file>

<file path=customXml/item17.xml>�� �  �  �  �  
</file>

<file path=customXml/itemProps1.xml><?xml version="1.0" encoding="utf-8"?>
<ds:datastoreItem xmlns:ds="http://schemas.openxmlformats.org/officeDocument/2006/customXml" ds:itemID="{8E0B0F11-122D-4F8F-9A85-39A3F76FAD70}">
  <ds:schemaRefs/>
</ds:datastoreItem>
</file>

<file path=customXml/itemProps2.xml><?xml version="1.0" encoding="utf-8"?>
<ds:datastoreItem xmlns:ds="http://schemas.openxmlformats.org/officeDocument/2006/customXml" ds:itemID="{2EA40B5B-3B92-4D62-BAC8-FA46815185EB}">
  <ds:schemaRefs/>
</ds:datastoreItem>
</file>

<file path=customXml/itemProps3.xml><?xml version="1.0" encoding="utf-8"?>
<ds:datastoreItem xmlns:ds="http://schemas.openxmlformats.org/officeDocument/2006/customXml" ds:itemID="{BED6263E-F3EA-46BB-8DDA-C6B68601304C}">
  <ds:schemaRefs/>
</ds:datastoreItem>
</file>

<file path=customXml/itemProps4.xml><?xml version="1.0" encoding="utf-8"?>
<ds:datastoreItem xmlns:ds="http://schemas.openxmlformats.org/officeDocument/2006/customXml" ds:itemID="{1E93A3EB-2A55-434D-A9CE-11B45C94E79F}">
  <ds:schemaRefs/>
</ds:datastoreItem>
</file>

<file path=customXml/itemProps5.xml><?xml version="1.0" encoding="utf-8"?>
<ds:datastoreItem xmlns:ds="http://schemas.openxmlformats.org/officeDocument/2006/customXml" ds:itemID="{0D769F51-08CD-48E5-8114-23CFE68B1D65}">
  <ds:schemaRefs/>
</ds:datastoreItem>
</file>

<file path=customXml/itemProps6.xml><?xml version="1.0" encoding="utf-8"?>
<ds:datastoreItem xmlns:ds="http://schemas.openxmlformats.org/officeDocument/2006/customXml" ds:itemID="{F49C872A-E006-4A77-BA3A-9236F01FB4B1}">
  <ds:schemaRefs/>
</ds:datastoreItem>
</file>

<file path=customXml/itemProps7.xml><?xml version="1.0" encoding="utf-8"?>
<ds:datastoreItem xmlns:ds="http://schemas.openxmlformats.org/officeDocument/2006/customXml" ds:itemID="{FCBB74CA-8901-4DBB-AA6C-9AA71294F80F}">
  <ds:schemaRefs/>
</ds:datastoreItem>
</file>

<file path=customXml/itemProps8.xml><?xml version="1.0" encoding="utf-8"?>
<ds:datastoreItem xmlns:ds="http://schemas.openxmlformats.org/officeDocument/2006/customXml" ds:itemID="{336C0D7F-4A8F-442C-982A-52F47E678175}">
  <ds:schemaRefs/>
</ds:datastoreItem>
</file>

<file path=customXml/itemProps9.xml><?xml version="1.0" encoding="utf-8"?>
<ds:datastoreItem xmlns:ds="http://schemas.openxmlformats.org/officeDocument/2006/customXml" ds:itemID="{EEC1C297-3078-4D58-AFF2-35B7BBCF36E7}">
  <ds:schemaRefs/>
</ds:datastoreItem>
</file>

<file path=customXml/itemProps10.xml><?xml version="1.0" encoding="utf-8"?>
<ds:datastoreItem xmlns:ds="http://schemas.openxmlformats.org/officeDocument/2006/customXml" ds:itemID="{64A0447B-E579-4B4B-9CC5-679A579EC57F}">
  <ds:schemaRefs/>
</ds:datastoreItem>
</file>

<file path=customXml/itemProps11.xml><?xml version="1.0" encoding="utf-8"?>
<ds:datastoreItem xmlns:ds="http://schemas.openxmlformats.org/officeDocument/2006/customXml" ds:itemID="{76268A20-C6B0-4EF5-9AC4-18CAEC0DA6A2}">
  <ds:schemaRefs/>
</ds:datastoreItem>
</file>

<file path=customXml/itemProps12.xml><?xml version="1.0" encoding="utf-8"?>
<ds:datastoreItem xmlns:ds="http://schemas.openxmlformats.org/officeDocument/2006/customXml" ds:itemID="{5AE9D960-00DC-4ABE-BF31-D1656537F0D8}">
  <ds:schemaRefs/>
</ds:datastoreItem>
</file>

<file path=customXml/itemProps13.xml><?xml version="1.0" encoding="utf-8"?>
<ds:datastoreItem xmlns:ds="http://schemas.openxmlformats.org/officeDocument/2006/customXml" ds:itemID="{22DECA24-C872-4F81-80DF-813C3DC2F069}">
  <ds:schemaRefs/>
</ds:datastoreItem>
</file>

<file path=customXml/itemProps14.xml><?xml version="1.0" encoding="utf-8"?>
<ds:datastoreItem xmlns:ds="http://schemas.openxmlformats.org/officeDocument/2006/customXml" ds:itemID="{F50207A5-FC8C-45EC-BFCF-F7796FE86899}">
  <ds:schemaRefs/>
</ds:datastoreItem>
</file>

<file path=customXml/itemProps15.xml><?xml version="1.0" encoding="utf-8"?>
<ds:datastoreItem xmlns:ds="http://schemas.openxmlformats.org/officeDocument/2006/customXml" ds:itemID="{80C75DA9-8F34-465E-A594-86C8FB20D699}">
  <ds:schemaRefs/>
</ds:datastoreItem>
</file>

<file path=customXml/itemProps16.xml><?xml version="1.0" encoding="utf-8"?>
<ds:datastoreItem xmlns:ds="http://schemas.openxmlformats.org/officeDocument/2006/customXml" ds:itemID="{F8C66D19-8BF0-479F-88F4-37A6F3DDFF9D}">
  <ds:schemaRefs/>
</ds:datastoreItem>
</file>

<file path=customXml/itemProps17.xml><?xml version="1.0" encoding="utf-8"?>
<ds:datastoreItem xmlns:ds="http://schemas.openxmlformats.org/officeDocument/2006/customXml" ds:itemID="{692936DD-7D59-4AF9-BA5E-13FDEC6E6C3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ProductDatabase</vt:lpstr>
      <vt:lpstr>Transaction_Log</vt:lpstr>
      <vt:lpstr>SupplierTable</vt:lpstr>
      <vt:lpstr>Sale Summary</vt:lpstr>
      <vt:lpstr>Pivot Table</vt:lpstr>
      <vt:lpstr>Low_Stock_Report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Redwon Sagor</dc:creator>
  <cp:lastModifiedBy>Sagor, Mir Md Redwon</cp:lastModifiedBy>
  <dcterms:created xsi:type="dcterms:W3CDTF">2025-03-01T01:43:26Z</dcterms:created>
  <dcterms:modified xsi:type="dcterms:W3CDTF">2025-03-06T14:57:52Z</dcterms:modified>
</cp:coreProperties>
</file>