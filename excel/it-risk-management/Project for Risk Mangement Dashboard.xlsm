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E25D5FC377B062AA/Documents/Excel Projects/"/>
    </mc:Choice>
  </mc:AlternateContent>
  <xr:revisionPtr revIDLastSave="1241" documentId="8_{76FA66D1-0830-4B2E-9036-2216CC4C307E}" xr6:coauthVersionLast="47" xr6:coauthVersionMax="47" xr10:uidLastSave="{20825B57-06CA-43D7-8399-BD0FF2A563B3}"/>
  <bookViews>
    <workbookView xWindow="-38510" yWindow="-9250" windowWidth="38620" windowHeight="21100" firstSheet="1" xr2:uid="{1EEC6412-1780-4327-A157-AB3B2336B9D2}"/>
  </bookViews>
  <sheets>
    <sheet name="Risk Dashboard" sheetId="6" r:id="rId1"/>
    <sheet name="Main Table" sheetId="1" r:id="rId2"/>
    <sheet name="Pivot Table" sheetId="5" r:id="rId3"/>
    <sheet name="High_Risk_Report" sheetId="11" r:id="rId4"/>
  </sheets>
  <definedNames>
    <definedName name="Slicer_Owner_Resoponsible_Person">#N/A</definedName>
    <definedName name="Slicer_Risk_Category">#N/A</definedName>
    <definedName name="Slicer_Status">#N/A</definedName>
  </definedNames>
  <calcPr calcId="191028"/>
  <pivotCaches>
    <pivotCache cacheId="36"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8" i="1" l="1"/>
  <c r="F49" i="1"/>
  <c r="F50" i="1"/>
  <c r="F51" i="1"/>
  <c r="F52" i="1"/>
  <c r="F34" i="1"/>
  <c r="F35" i="1"/>
  <c r="F36" i="1"/>
  <c r="F37" i="1"/>
  <c r="F38" i="1"/>
  <c r="F39" i="1"/>
  <c r="F40" i="1"/>
  <c r="F41" i="1"/>
  <c r="F42" i="1"/>
  <c r="F43" i="1"/>
  <c r="F44" i="1"/>
  <c r="F45" i="1"/>
  <c r="F46" i="1"/>
  <c r="F47" i="1"/>
  <c r="F13" i="1"/>
  <c r="F14" i="1"/>
  <c r="F15" i="1"/>
  <c r="F16" i="1"/>
  <c r="F17" i="1"/>
  <c r="F18" i="1"/>
  <c r="F19" i="1"/>
  <c r="F20" i="1"/>
  <c r="F21" i="1"/>
  <c r="F22" i="1"/>
  <c r="F23" i="1"/>
  <c r="F24" i="1"/>
  <c r="F25" i="1"/>
  <c r="F26" i="1"/>
  <c r="F27" i="1"/>
  <c r="F28" i="1"/>
  <c r="F29" i="1"/>
  <c r="F30" i="1"/>
  <c r="F31" i="1"/>
  <c r="F32" i="1"/>
  <c r="F33" i="1"/>
  <c r="F4" i="1"/>
  <c r="F5" i="1"/>
  <c r="F6" i="1"/>
  <c r="F7" i="1"/>
  <c r="F8" i="1"/>
  <c r="F9" i="1"/>
  <c r="F10" i="1"/>
  <c r="F11" i="1"/>
  <c r="F12" i="1"/>
  <c r="F3" i="1"/>
</calcChain>
</file>

<file path=xl/sharedStrings.xml><?xml version="1.0" encoding="utf-8"?>
<sst xmlns="http://schemas.openxmlformats.org/spreadsheetml/2006/main" count="862" uniqueCount="253">
  <si>
    <t>IT Risk Management Dashboard</t>
  </si>
  <si>
    <t>Risk Register Table</t>
  </si>
  <si>
    <t>Risk ID</t>
  </si>
  <si>
    <t>Risk Category</t>
  </si>
  <si>
    <t>Risk Description</t>
  </si>
  <si>
    <t>Likelihood(1-5)</t>
  </si>
  <si>
    <t>Impact(1-5)</t>
  </si>
  <si>
    <t>Risk Score</t>
  </si>
  <si>
    <t>Mitigation Plan</t>
  </si>
  <si>
    <t>Status</t>
  </si>
  <si>
    <t>Owner/Resoponsible Person</t>
  </si>
  <si>
    <t>Data Identified</t>
  </si>
  <si>
    <t>Due Date for Mitigation</t>
  </si>
  <si>
    <t>Notes/Comments</t>
  </si>
  <si>
    <t>R001</t>
  </si>
  <si>
    <t>Cybersecurity</t>
  </si>
  <si>
    <t>Unauthorized access to the internal system</t>
  </si>
  <si>
    <t>Implement multi-factor authentication</t>
  </si>
  <si>
    <t>Open</t>
  </si>
  <si>
    <t>IT Security Team</t>
  </si>
  <si>
    <t>High priority</t>
  </si>
  <si>
    <t>R002</t>
  </si>
  <si>
    <t>Compliance</t>
  </si>
  <si>
    <t>Non-compliance with GDPR</t>
  </si>
  <si>
    <t>Regular audits and training</t>
  </si>
  <si>
    <t>In Progress</t>
  </si>
  <si>
    <t>Compliance Officer</t>
  </si>
  <si>
    <t>28/02/2025</t>
  </si>
  <si>
    <t>Audit scheduled</t>
  </si>
  <si>
    <t>R003</t>
  </si>
  <si>
    <t>Operational</t>
  </si>
  <si>
    <t>Server downtime due to failure</t>
  </si>
  <si>
    <t>Backup and failover system</t>
  </si>
  <si>
    <t>IT Infrastructure Team</t>
  </si>
  <si>
    <t>20/01/2025</t>
  </si>
  <si>
    <t>Investigating root cause</t>
  </si>
  <si>
    <t>R004</t>
  </si>
  <si>
    <t>Data Breach</t>
  </si>
  <si>
    <t>Data leakage through phishing</t>
  </si>
  <si>
    <t>Employee phishing awareness training</t>
  </si>
  <si>
    <t>Mitigated</t>
  </si>
  <si>
    <t>Security Team</t>
  </si>
  <si>
    <t>Training completed</t>
  </si>
  <si>
    <t>R005</t>
  </si>
  <si>
    <t>Infrastructure</t>
  </si>
  <si>
    <t>Outdated firewall vulnerabilities</t>
  </si>
  <si>
    <t>Upgrade firewall and patch vulnerabilities</t>
  </si>
  <si>
    <t>Network Admin</t>
  </si>
  <si>
    <t>15/01/2025</t>
  </si>
  <si>
    <t>20/02/2025</t>
  </si>
  <si>
    <t>Patches pending</t>
  </si>
  <si>
    <t>R006</t>
  </si>
  <si>
    <t>Weak password policies</t>
  </si>
  <si>
    <t>Enforce strong password policies</t>
  </si>
  <si>
    <t>25/01/2025</t>
  </si>
  <si>
    <t>Policy update in review</t>
  </si>
  <si>
    <t>R007</t>
  </si>
  <si>
    <t>Unauthorized software usage</t>
  </si>
  <si>
    <t>Implement software approval workflow</t>
  </si>
  <si>
    <t>Closed</t>
  </si>
  <si>
    <t>Compliance Team</t>
  </si>
  <si>
    <t>18/11/2024</t>
  </si>
  <si>
    <t>15/12/2024</t>
  </si>
  <si>
    <t>Issue resolved</t>
  </si>
  <si>
    <t>R008</t>
  </si>
  <si>
    <t>IT support response delays</t>
  </si>
  <si>
    <t>Increase IT helpdesk staff</t>
  </si>
  <si>
    <t>IT Support</t>
  </si>
  <si>
    <t>30/01/2025</t>
  </si>
  <si>
    <t>15/02/2025</t>
  </si>
  <si>
    <t>Under evaluation</t>
  </si>
  <si>
    <t>R009</t>
  </si>
  <si>
    <t>Third-party vendor data breach</t>
  </si>
  <si>
    <t>Vendor security audit</t>
  </si>
  <si>
    <t>Vendor Management</t>
  </si>
  <si>
    <t>25/02/2025</t>
  </si>
  <si>
    <t>Awaiting vendor compliance</t>
  </si>
  <si>
    <t>R010</t>
  </si>
  <si>
    <t>Power outage affecting data center</t>
  </si>
  <si>
    <t>Deploy backup power generators</t>
  </si>
  <si>
    <t>Data Center Ops</t>
  </si>
  <si>
    <t>High impact risk</t>
  </si>
  <si>
    <t>R011</t>
  </si>
  <si>
    <t>Unpatched security vulnerabilities</t>
  </si>
  <si>
    <t>Patch management system</t>
  </si>
  <si>
    <t>Critical issue</t>
  </si>
  <si>
    <t>R012</t>
  </si>
  <si>
    <t>Missing compliance documentation</t>
  </si>
  <si>
    <t>Regular compliance audits</t>
  </si>
  <si>
    <t xml:space="preserve">	05/03/2025</t>
  </si>
  <si>
    <t>Needs review</t>
  </si>
  <si>
    <t>R013</t>
  </si>
  <si>
    <t>Server overheating</t>
  </si>
  <si>
    <t>Cooling system upgrade</t>
  </si>
  <si>
    <t>Equipment upgrade required</t>
  </si>
  <si>
    <t>R014</t>
  </si>
  <si>
    <t>Unauthorized third-party access</t>
  </si>
  <si>
    <t>Vendor security assessments</t>
  </si>
  <si>
    <t>High priority risk</t>
  </si>
  <si>
    <t>R015</t>
  </si>
  <si>
    <t>Power surge affecting network</t>
  </si>
  <si>
    <t>Install surge protectors</t>
  </si>
  <si>
    <t>Completed</t>
  </si>
  <si>
    <t>R016</t>
  </si>
  <si>
    <t>Ransomware attack possiblity</t>
  </si>
  <si>
    <t>Regular backups and training</t>
  </si>
  <si>
    <t>01.01.2024</t>
  </si>
  <si>
    <t>Cyberattack prevention</t>
  </si>
  <si>
    <t>R017</t>
  </si>
  <si>
    <t>Failure in SOX compliance</t>
  </si>
  <si>
    <t>Compliance workflow automation</t>
  </si>
  <si>
    <t>10.11.2024</t>
  </si>
  <si>
    <t>R018</t>
  </si>
  <si>
    <t>Inconsistent system performance</t>
  </si>
  <si>
    <t>System performance monitoring</t>
  </si>
  <si>
    <t>Investigation ongoing</t>
  </si>
  <si>
    <t>R019</t>
  </si>
  <si>
    <t>Insider data leak</t>
  </si>
  <si>
    <t>Employee monitoring tools</t>
  </si>
  <si>
    <t>High-risk scenario</t>
  </si>
  <si>
    <t>R020</t>
  </si>
  <si>
    <t>Old routers causing downtime</t>
  </si>
  <si>
    <t>Upgrade network infrastructure</t>
  </si>
  <si>
    <t>15/03/2025</t>
  </si>
  <si>
    <t>Planning stage</t>
  </si>
  <si>
    <t>R021</t>
  </si>
  <si>
    <t>Social engineering attack</t>
  </si>
  <si>
    <t>Employee security training</t>
  </si>
  <si>
    <t>Awareness program started</t>
  </si>
  <si>
    <t>R022</t>
  </si>
  <si>
    <t>Poor data retention policy</t>
  </si>
  <si>
    <t>Implement automated data retention</t>
  </si>
  <si>
    <t>30/03/2025</t>
  </si>
  <si>
    <t>Drafting policies</t>
  </si>
  <si>
    <t>R023</t>
  </si>
  <si>
    <t>VPN connectivity issues</t>
  </si>
  <si>
    <t>VPN configuration optimization</t>
  </si>
  <si>
    <t>R024</t>
  </si>
  <si>
    <t>Weak API security</t>
  </si>
  <si>
    <t>API security enhancements</t>
  </si>
  <si>
    <t>Needs urgent action</t>
  </si>
  <si>
    <t>R025</t>
  </si>
  <si>
    <t>Data center cooling failure</t>
  </si>
  <si>
    <t>Upgrade cooling systems</t>
  </si>
  <si>
    <t>High-impact issue</t>
  </si>
  <si>
    <t>R026</t>
  </si>
  <si>
    <t>Phishing attack success rate</t>
  </si>
  <si>
    <t>Anti-phishing measures</t>
  </si>
  <si>
    <t>Training required</t>
  </si>
  <si>
    <t>R027</t>
  </si>
  <si>
    <t>Misconfigured GDPR policies</t>
  </si>
  <si>
    <t>Review &amp; update policies</t>
  </si>
  <si>
    <t>Needs revision</t>
  </si>
  <si>
    <t>R028</t>
  </si>
  <si>
    <t>Network bandwidth issues</t>
  </si>
  <si>
    <t>Increase network capacity</t>
  </si>
  <si>
    <t>Under review</t>
  </si>
  <si>
    <t>R029</t>
  </si>
  <si>
    <t>Cloud storage misconfiguration</t>
  </si>
  <si>
    <t>Cloud security assessment</t>
  </si>
  <si>
    <t>R030</t>
  </si>
  <si>
    <t>Faulty server hardware</t>
  </si>
  <si>
    <t>Replace outdated hardware</t>
  </si>
  <si>
    <t>Hardware replacement needed</t>
  </si>
  <si>
    <t>R031</t>
  </si>
  <si>
    <t>Malware infiltration</t>
  </si>
  <si>
    <t>Install endpoint security</t>
  </si>
  <si>
    <t>18/02/2025</t>
  </si>
  <si>
    <t>Antivirus upgrade required</t>
  </si>
  <si>
    <t>R032</t>
  </si>
  <si>
    <t>Enforce password policy</t>
  </si>
  <si>
    <t>22/02/2025</t>
  </si>
  <si>
    <t>MFA rollout in progress</t>
  </si>
  <si>
    <t>R033</t>
  </si>
  <si>
    <t>IT support ticket backlog</t>
  </si>
  <si>
    <t>Hire additional support</t>
  </si>
  <si>
    <t>High response time reported</t>
  </si>
  <si>
    <t>R034</t>
  </si>
  <si>
    <t>Misconfigured firewalls</t>
  </si>
  <si>
    <t>Firewall audit &amp; tuning</t>
  </si>
  <si>
    <t>Network security risk</t>
  </si>
  <si>
    <t>R035</t>
  </si>
  <si>
    <t>Fiber optic cable damage</t>
  </si>
  <si>
    <t>Repair fiber optic lines</t>
  </si>
  <si>
    <t xml:space="preserve">	Major connectivity issue</t>
  </si>
  <si>
    <t>R036</t>
  </si>
  <si>
    <t>USB device vulnerabilities</t>
  </si>
  <si>
    <t>Restrict USB usage</t>
  </si>
  <si>
    <t>Policy updated</t>
  </si>
  <si>
    <t>R037</t>
  </si>
  <si>
    <t xml:space="preserve">	Non-compliant software</t>
  </si>
  <si>
    <t>Software compliance audit</t>
  </si>
  <si>
    <t>R038</t>
  </si>
  <si>
    <t>Frequent software crashes</t>
  </si>
  <si>
    <t>Bug fixing &amp; updates</t>
  </si>
  <si>
    <t>Patch in development</t>
  </si>
  <si>
    <t>R039</t>
  </si>
  <si>
    <t>Public S3 bucket exposure</t>
  </si>
  <si>
    <t>Secure cloud storage</t>
  </si>
  <si>
    <t>Critical cloud risk</t>
  </si>
  <si>
    <t>R040</t>
  </si>
  <si>
    <t>Poor Wi-Fi coverage</t>
  </si>
  <si>
    <t>Improve wireless infrastructure</t>
  </si>
  <si>
    <t>Weak signal reported</t>
  </si>
  <si>
    <t>R041</t>
  </si>
  <si>
    <t>DDoS attack vulnerability</t>
  </si>
  <si>
    <t>Deploy DDoS protection</t>
  </si>
  <si>
    <t>20/03/2025</t>
  </si>
  <si>
    <t>Risk of downtime</t>
  </si>
  <si>
    <t>R042</t>
  </si>
  <si>
    <t>Regulatory audit failure</t>
  </si>
  <si>
    <t>Prepare for audits</t>
  </si>
  <si>
    <t>25/03/2025</t>
  </si>
  <si>
    <t>Audit preparation ongoing</t>
  </si>
  <si>
    <t>R043</t>
  </si>
  <si>
    <t>Legacy systems causing delays</t>
  </si>
  <si>
    <t>System upgrades</t>
  </si>
  <si>
    <t>Upgrade in planning phase</t>
  </si>
  <si>
    <t>R044</t>
  </si>
  <si>
    <t>Stolen employee credentials</t>
  </si>
  <si>
    <t>Implement MFA</t>
  </si>
  <si>
    <t>Urgent security breach</t>
  </si>
  <si>
    <t>R045</t>
  </si>
  <si>
    <t>High latency in cloud services</t>
  </si>
  <si>
    <t>Optimize cloud performance</t>
  </si>
  <si>
    <t>Cloud slowness reported</t>
  </si>
  <si>
    <t>R046</t>
  </si>
  <si>
    <t>Unsecured IoT devices</t>
  </si>
  <si>
    <t>Implement IoT security protocols</t>
  </si>
  <si>
    <t>14/03/2025</t>
  </si>
  <si>
    <t>IoT threat detected</t>
  </si>
  <si>
    <t>R047</t>
  </si>
  <si>
    <t>Missing security training</t>
  </si>
  <si>
    <t>Conduct security awareness sessions</t>
  </si>
  <si>
    <t>16/03/2025</t>
  </si>
  <si>
    <t>Awareness needed</t>
  </si>
  <si>
    <t>R048</t>
  </si>
  <si>
    <t>Slow system boot times</t>
  </si>
  <si>
    <t>Improve system performance</t>
  </si>
  <si>
    <t>18/03/2025</t>
  </si>
  <si>
    <t>R049</t>
  </si>
  <si>
    <t>Exposed database credentials</t>
  </si>
  <si>
    <t>Rotate database credentials</t>
  </si>
  <si>
    <t>Major security risk</t>
  </si>
  <si>
    <t>R050</t>
  </si>
  <si>
    <t>Unstable network switches</t>
  </si>
  <si>
    <t>Upgrade network switches</t>
  </si>
  <si>
    <t>22/03/2025</t>
  </si>
  <si>
    <t>15/04/2025</t>
  </si>
  <si>
    <t>Needs urgent replacement</t>
  </si>
  <si>
    <t>Total Risk Score</t>
  </si>
  <si>
    <t>Grand Total</t>
  </si>
  <si>
    <t>Owner Responsible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</si>
</sst>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quot;.&quot;m&quot;.&quot;yy;@"/>
  </numFmts>
  <fonts count="6" x14ac:knownFonts="1">
    <font>
      <sz val="11"/>
      <color rgb="FF000000"/>
      <name val="Times New Roman"/>
      <family val="1"/>
    </font>
    <font>
      <b/>
      <sz val="11"/>
      <color rgb="FF000000"/>
      <name val="Times New Roman"/>
      <family val="1"/>
    </font>
    <font>
      <b/>
      <sz val="20"/>
      <color rgb="FF000000"/>
      <name val="Times New Roman"/>
      <family val="1"/>
    </font>
    <font>
      <sz val="12"/>
      <color rgb="FF000000"/>
      <name val="Times New Roman"/>
      <family val="1"/>
    </font>
    <font>
      <sz val="8"/>
      <name val="Times New Roman"/>
      <family val="1"/>
    </font>
    <font>
      <b/>
      <sz val="24"/>
      <color rgb="FF000000"/>
      <name val="Times New Roman"/>
      <family val="1"/>
    </font>
  </fonts>
  <fills count="8">
    <fill>
      <patternFill patternType="none"/>
    </fill>
    <fill>
      <patternFill patternType="gray125"/>
    </fill>
    <fill>
      <patternFill patternType="solid">
        <fgColor theme="2" tint="-9.9978637043366805E-2"/>
        <bgColor indexed="64"/>
      </patternFill>
    </fill>
    <fill>
      <patternFill patternType="solid">
        <fgColor theme="3" tint="0.749992370372631"/>
        <bgColor indexed="64"/>
      </patternFill>
    </fill>
    <fill>
      <patternFill patternType="solid">
        <fgColor rgb="FFC0C0C0"/>
        <bgColor indexed="64"/>
      </patternFill>
    </fill>
    <fill>
      <patternFill patternType="solid">
        <fgColor rgb="FFFF0000"/>
        <bgColor indexed="64"/>
      </patternFill>
    </fill>
    <fill>
      <patternFill patternType="solid">
        <fgColor rgb="FFFFFF00"/>
        <bgColor indexed="64"/>
      </patternFill>
    </fill>
    <fill>
      <patternFill patternType="solid">
        <fgColor rgb="FFFFA500"/>
        <bgColor indexed="64"/>
      </patternFill>
    </fill>
  </fills>
  <borders count="9">
    <border>
      <left/>
      <right/>
      <top/>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top style="thin">
        <color indexed="65"/>
      </top>
      <bottom/>
      <diagonal/>
    </border>
    <border>
      <left style="thin">
        <color rgb="FFABABAB"/>
      </left>
      <right/>
      <top/>
      <bottom/>
      <diagonal/>
    </border>
    <border>
      <left style="thin">
        <color rgb="FFABABAB"/>
      </left>
      <right style="thin">
        <color rgb="FFABABAB"/>
      </right>
      <top/>
      <bottom/>
      <diagonal/>
    </border>
    <border>
      <left style="thin">
        <color rgb="FFABABAB"/>
      </left>
      <right/>
      <top style="thin">
        <color rgb="FFABABAB"/>
      </top>
      <bottom style="thin">
        <color rgb="FFABABAB"/>
      </bottom>
      <diagonal/>
    </border>
    <border>
      <left style="thin">
        <color indexed="65"/>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s>
  <cellStyleXfs count="1">
    <xf numFmtId="0" fontId="0" fillId="0" borderId="0"/>
  </cellStyleXfs>
  <cellXfs count="30">
    <xf numFmtId="0" fontId="0" fillId="0" borderId="0" xfId="0"/>
    <xf numFmtId="164" fontId="0" fillId="0" borderId="0" xfId="0" applyNumberFormat="1"/>
    <xf numFmtId="0" fontId="3" fillId="0" borderId="0" xfId="0" applyFont="1"/>
    <xf numFmtId="0" fontId="3" fillId="0" borderId="0" xfId="0" applyFont="1" applyAlignment="1">
      <alignment horizontal="center" vertical="center"/>
    </xf>
    <xf numFmtId="164" fontId="3" fillId="0" borderId="0" xfId="0" applyNumberFormat="1" applyFont="1" applyAlignment="1">
      <alignment horizontal="center" vertical="center"/>
    </xf>
    <xf numFmtId="14" fontId="0" fillId="0" borderId="0" xfId="0" applyNumberFormat="1"/>
    <xf numFmtId="14" fontId="3" fillId="0" borderId="0" xfId="0" applyNumberFormat="1" applyFont="1" applyAlignment="1">
      <alignment horizontal="center" vertical="center"/>
    </xf>
    <xf numFmtId="14" fontId="0" fillId="0" borderId="0" xfId="0" applyNumberFormat="1" applyAlignment="1">
      <alignment horizontal="right"/>
    </xf>
    <xf numFmtId="0" fontId="0" fillId="0" borderId="0" xfId="0" applyAlignment="1">
      <alignment horizontal="right"/>
    </xf>
    <xf numFmtId="0" fontId="1" fillId="0" borderId="0" xfId="0" applyFont="1"/>
    <xf numFmtId="14" fontId="0" fillId="0" borderId="0" xfId="0" applyNumberFormat="1" applyAlignment="1">
      <alignment horizontal="right" vertical="center" wrapText="1"/>
    </xf>
    <xf numFmtId="0" fontId="0" fillId="3" borderId="0" xfId="0" applyFill="1"/>
    <xf numFmtId="0" fontId="1" fillId="4" borderId="0" xfId="0" applyFont="1" applyFill="1"/>
    <xf numFmtId="0" fontId="0" fillId="5" borderId="0" xfId="0" applyFill="1"/>
    <xf numFmtId="0" fontId="0" fillId="6" borderId="0" xfId="0" applyFill="1"/>
    <xf numFmtId="0" fontId="0" fillId="7" borderId="0" xfId="0" applyFill="1"/>
    <xf numFmtId="0" fontId="5" fillId="2" borderId="0" xfId="0" applyFont="1" applyFill="1" applyAlignment="1">
      <alignment horizontal="center"/>
    </xf>
    <xf numFmtId="0" fontId="0" fillId="2" borderId="0" xfId="0" applyFill="1" applyAlignment="1">
      <alignment horizontal="center"/>
    </xf>
    <xf numFmtId="0" fontId="2" fillId="2" borderId="0" xfId="0" applyFont="1" applyFill="1" applyAlignment="1">
      <alignment horizontal="center" vertical="center"/>
    </xf>
    <xf numFmtId="0" fontId="0" fillId="2" borderId="0" xfId="0" applyFill="1" applyAlignment="1">
      <alignment horizontal="center" vertical="center"/>
    </xf>
    <xf numFmtId="0" fontId="0" fillId="0" borderId="1" xfId="0" applyBorder="1"/>
    <xf numFmtId="0" fontId="0" fillId="0" borderId="3" xfId="0" applyBorder="1"/>
    <xf numFmtId="0" fontId="0" fillId="0" borderId="4" xfId="0" applyBorder="1"/>
    <xf numFmtId="0" fontId="0" fillId="0" borderId="6" xfId="0" applyBorder="1"/>
    <xf numFmtId="0" fontId="0" fillId="0" borderId="7" xfId="0" applyBorder="1"/>
    <xf numFmtId="0" fontId="1" fillId="0" borderId="2" xfId="0" applyNumberFormat="1" applyFont="1" applyBorder="1"/>
    <xf numFmtId="0" fontId="1" fillId="0" borderId="5" xfId="0" applyNumberFormat="1" applyFont="1" applyBorder="1"/>
    <xf numFmtId="0" fontId="1" fillId="0" borderId="8" xfId="0" applyNumberFormat="1" applyFont="1" applyBorder="1"/>
    <xf numFmtId="0" fontId="1" fillId="0" borderId="2" xfId="0" applyFont="1" applyBorder="1"/>
    <xf numFmtId="0" fontId="1" fillId="0" borderId="1" xfId="0" pivotButton="1" applyFont="1" applyBorder="1"/>
  </cellXfs>
  <cellStyles count="1">
    <cellStyle name="Normal" xfId="0" builtinId="0" customBuiltin="1"/>
  </cellStyles>
  <dxfs count="43">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numFmt numFmtId="19" formatCode="m/d/yyyy"/>
      <alignment horizontal="right" vertical="bottom" textRotation="0" wrapText="0" indent="0" justifyLastLine="0" shrinkToFit="0" readingOrder="0"/>
    </dxf>
    <dxf>
      <numFmt numFmtId="19" formatCode="m/d/yyyy"/>
      <alignment horizontal="right" vertical="bottom" textRotation="0" wrapText="0" indent="0" justifyLastLine="0" shrinkToFit="0" readingOrder="0"/>
    </dxf>
    <dxf>
      <font>
        <strike val="0"/>
        <outline val="0"/>
        <shadow val="0"/>
        <u val="none"/>
        <vertAlign val="baseline"/>
        <sz val="12"/>
        <color rgb="FF000000"/>
        <name val="Times New Roman"/>
        <family val="1"/>
        <scheme val="none"/>
      </font>
      <alignment horizontal="center" vertical="center" textRotation="0" wrapText="0" indent="0" justifyLastLine="0" shrinkToFit="0" readingOrder="0"/>
    </dxf>
  </dxfs>
  <tableStyles count="0" defaultTableStyle="TableStyleMedium2" defaultPivotStyle="PivotStyleLight16"/>
  <colors>
    <mruColors>
      <color rgb="FFC2CFFF"/>
      <color rgb="FF9FD7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[Project for Risk Mangement Dashboard.xlsm]Pivot Table!Risk Distribution by Category</c:name>
    <c:fmtId val="36"/>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Risk Distribution by Category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1.363545200342368E-3"/>
              <c:y val="8.599940564905565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1.363545200342268E-3"/>
              <c:y val="1.148095468187479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
              <c:y val="5.718926447936392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
              <c:y val="1.14809546818747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9.9992159573813586E-17"/>
              <c:y val="1.14809546818747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1.4399037315615402E-2"/>
                  <c:h val="5.1815152319443211E-2"/>
                </c:manualLayout>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
              <c:y val="1.400581193556499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9.9992159573813586E-17"/>
              <c:y val="1.43619687988439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1.363545200342468E-3"/>
              <c:y val="8.599940564905619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
              <c:y val="1.148095468187479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
              <c:y val="1.12579596521912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
              <c:y val="1.09918628365058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4.9996079786906793E-17"/>
              <c:y val="1.14809546818747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
              <c:y val="8.599940564905565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4.9996079786906793E-17"/>
              <c:y val="1.72429829158130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2.4998039893453397E-17"/>
              <c:y val="8.403487161339059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
              <c:y val="1.148095468187479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2.4998039893453397E-17"/>
              <c:y val="1.72429829158130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
              <c:y val="1.12046495484519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Table'!$D$3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2-4BD9-46C9-9CE8-0E4F4236F249}"/>
              </c:ext>
            </c:extLst>
          </c:dPt>
          <c:dPt>
            <c:idx val="1"/>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1-4BD9-46C9-9CE8-0E4F4236F249}"/>
              </c:ext>
            </c:extLst>
          </c:dPt>
          <c:dPt>
            <c:idx val="2"/>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0-4BD9-46C9-9CE8-0E4F4236F249}"/>
              </c:ext>
            </c:extLst>
          </c:dPt>
          <c:dPt>
            <c:idx val="3"/>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F-4BD9-46C9-9CE8-0E4F4236F249}"/>
              </c:ext>
            </c:extLst>
          </c:dPt>
          <c:dPt>
            <c:idx val="5"/>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E-4BD9-46C9-9CE8-0E4F4236F249}"/>
              </c:ext>
            </c:extLst>
          </c:dPt>
          <c:dPt>
            <c:idx val="7"/>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D-4BD9-46C9-9CE8-0E4F4236F249}"/>
              </c:ext>
            </c:extLst>
          </c:dPt>
          <c:dPt>
            <c:idx val="8"/>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4BD9-46C9-9CE8-0E4F4236F249}"/>
              </c:ext>
            </c:extLst>
          </c:dPt>
          <c:dPt>
            <c:idx val="9"/>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B-4BD9-46C9-9CE8-0E4F4236F249}"/>
              </c:ext>
            </c:extLst>
          </c:dPt>
          <c:dPt>
            <c:idx val="1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4BD9-46C9-9CE8-0E4F4236F249}"/>
              </c:ext>
            </c:extLst>
          </c:dPt>
          <c:dPt>
            <c:idx val="11"/>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9-4BD9-46C9-9CE8-0E4F4236F249}"/>
              </c:ext>
            </c:extLst>
          </c:dPt>
          <c:dPt>
            <c:idx val="12"/>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8-4BD9-46C9-9CE8-0E4F4236F249}"/>
              </c:ext>
            </c:extLst>
          </c:dPt>
          <c:dPt>
            <c:idx val="13"/>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7-4BD9-46C9-9CE8-0E4F4236F249}"/>
              </c:ext>
            </c:extLst>
          </c:dPt>
          <c:dPt>
            <c:idx val="14"/>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6-4BD9-46C9-9CE8-0E4F4236F249}"/>
              </c:ext>
            </c:extLst>
          </c:dPt>
          <c:dPt>
            <c:idx val="15"/>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2-4BD9-46C9-9CE8-0E4F4236F249}"/>
              </c:ext>
            </c:extLst>
          </c:dPt>
          <c:dPt>
            <c:idx val="16"/>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4BD9-46C9-9CE8-0E4F4236F249}"/>
              </c:ext>
            </c:extLst>
          </c:dPt>
          <c:dPt>
            <c:idx val="17"/>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0-4BD9-46C9-9CE8-0E4F4236F249}"/>
              </c:ext>
            </c:extLst>
          </c:dPt>
          <c:dPt>
            <c:idx val="2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3-4BD9-46C9-9CE8-0E4F4236F249}"/>
              </c:ext>
            </c:extLst>
          </c:dPt>
          <c:dPt>
            <c:idx val="21"/>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4-4BD9-46C9-9CE8-0E4F4236F249}"/>
              </c:ext>
            </c:extLst>
          </c:dPt>
          <c:dPt>
            <c:idx val="22"/>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5-4BD9-46C9-9CE8-0E4F4236F249}"/>
              </c:ext>
            </c:extLst>
          </c:dPt>
          <c:dLbls>
            <c:dLbl>
              <c:idx val="0"/>
              <c:layout>
                <c:manualLayout>
                  <c:x val="0"/>
                  <c:y val="1.120464954845197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4BD9-46C9-9CE8-0E4F4236F249}"/>
                </c:ext>
              </c:extLst>
            </c:dLbl>
            <c:dLbl>
              <c:idx val="1"/>
              <c:layout>
                <c:manualLayout>
                  <c:x val="-2.4998039893453397E-17"/>
                  <c:y val="1.724298291581308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4BD9-46C9-9CE8-0E4F4236F249}"/>
                </c:ext>
              </c:extLst>
            </c:dLbl>
            <c:dLbl>
              <c:idx val="2"/>
              <c:layout>
                <c:manualLayout>
                  <c:x val="0"/>
                  <c:y val="1.148095468187479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4BD9-46C9-9CE8-0E4F4236F249}"/>
                </c:ext>
              </c:extLst>
            </c:dLbl>
            <c:dLbl>
              <c:idx val="3"/>
              <c:layout>
                <c:manualLayout>
                  <c:x val="-2.4998039893453397E-17"/>
                  <c:y val="8.403487161339059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4BD9-46C9-9CE8-0E4F4236F249}"/>
                </c:ext>
              </c:extLst>
            </c:dLbl>
            <c:dLbl>
              <c:idx val="5"/>
              <c:layout>
                <c:manualLayout>
                  <c:x val="-4.9996079786906793E-17"/>
                  <c:y val="1.724298291581308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4BD9-46C9-9CE8-0E4F4236F249}"/>
                </c:ext>
              </c:extLst>
            </c:dLbl>
            <c:dLbl>
              <c:idx val="7"/>
              <c:layout>
                <c:manualLayout>
                  <c:x val="0"/>
                  <c:y val="8.599940564905565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4BD9-46C9-9CE8-0E4F4236F249}"/>
                </c:ext>
              </c:extLst>
            </c:dLbl>
            <c:dLbl>
              <c:idx val="8"/>
              <c:layout>
                <c:manualLayout>
                  <c:x val="-4.9996079786906793E-17"/>
                  <c:y val="1.148095468187473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BD9-46C9-9CE8-0E4F4236F249}"/>
                </c:ext>
              </c:extLst>
            </c:dLbl>
            <c:dLbl>
              <c:idx val="9"/>
              <c:layout>
                <c:manualLayout>
                  <c:x val="0"/>
                  <c:y val="1.099186283650585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BD9-46C9-9CE8-0E4F4236F249}"/>
                </c:ext>
              </c:extLst>
            </c:dLbl>
            <c:dLbl>
              <c:idx val="10"/>
              <c:layout>
                <c:manualLayout>
                  <c:x val="0"/>
                  <c:y val="1.125795965219127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BD9-46C9-9CE8-0E4F4236F249}"/>
                </c:ext>
              </c:extLst>
            </c:dLbl>
            <c:dLbl>
              <c:idx val="11"/>
              <c:layout>
                <c:manualLayout>
                  <c:x val="0"/>
                  <c:y val="1.148095468187479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BD9-46C9-9CE8-0E4F4236F249}"/>
                </c:ext>
              </c:extLst>
            </c:dLbl>
            <c:dLbl>
              <c:idx val="12"/>
              <c:layout>
                <c:manualLayout>
                  <c:x val="-1.363545200342468E-3"/>
                  <c:y val="8.599940564905619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BD9-46C9-9CE8-0E4F4236F249}"/>
                </c:ext>
              </c:extLst>
            </c:dLbl>
            <c:dLbl>
              <c:idx val="13"/>
              <c:layout>
                <c:manualLayout>
                  <c:x val="-9.9992159573813586E-17"/>
                  <c:y val="1.436196879884396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BD9-46C9-9CE8-0E4F4236F249}"/>
                </c:ext>
              </c:extLst>
            </c:dLbl>
            <c:dLbl>
              <c:idx val="14"/>
              <c:layout>
                <c:manualLayout>
                  <c:x val="0"/>
                  <c:y val="1.400581193556499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BD9-46C9-9CE8-0E4F4236F249}"/>
                </c:ext>
              </c:extLst>
            </c:dLbl>
            <c:dLbl>
              <c:idx val="15"/>
              <c:layout>
                <c:manualLayout>
                  <c:x val="0"/>
                  <c:y val="5.718926447936392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BD9-46C9-9CE8-0E4F4236F249}"/>
                </c:ext>
              </c:extLst>
            </c:dLbl>
            <c:dLbl>
              <c:idx val="16"/>
              <c:layout>
                <c:manualLayout>
                  <c:x val="1.363545200342268E-3"/>
                  <c:y val="1.148095468187479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BD9-46C9-9CE8-0E4F4236F249}"/>
                </c:ext>
              </c:extLst>
            </c:dLbl>
            <c:dLbl>
              <c:idx val="17"/>
              <c:layout>
                <c:manualLayout>
                  <c:x val="1.363545200342368E-3"/>
                  <c:y val="8.599940564905565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BD9-46C9-9CE8-0E4F4236F249}"/>
                </c:ext>
              </c:extLst>
            </c:dLbl>
            <c:dLbl>
              <c:idx val="20"/>
              <c:layout>
                <c:manualLayout>
                  <c:x val="0"/>
                  <c:y val="1.148095468187473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BD9-46C9-9CE8-0E4F4236F249}"/>
                </c:ext>
              </c:extLst>
            </c:dLbl>
            <c:dLbl>
              <c:idx val="21"/>
              <c:layout>
                <c:manualLayout>
                  <c:x val="-9.9992159573813586E-17"/>
                  <c:y val="1.148095468187473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BD9-46C9-9CE8-0E4F4236F249}"/>
                </c:ext>
              </c:extLst>
            </c:dLbl>
            <c:dLbl>
              <c:idx val="22"/>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1.4399037315615402E-2"/>
                      <c:h val="5.1815152319443211E-2"/>
                    </c:manualLayout>
                  </c15:layout>
                </c:ext>
                <c:ext xmlns:c16="http://schemas.microsoft.com/office/drawing/2014/chart" uri="{C3380CC4-5D6E-409C-BE32-E72D297353CC}">
                  <c16:uniqueId val="{00000005-4BD9-46C9-9CE8-0E4F4236F2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'Pivot Table'!$A$4:$C$27</c:f>
              <c:multiLvlStrCache>
                <c:ptCount val="23"/>
                <c:lvl>
                  <c:pt idx="0">
                    <c:v>Compliance Team</c:v>
                  </c:pt>
                  <c:pt idx="1">
                    <c:v>Compliance Officer</c:v>
                  </c:pt>
                  <c:pt idx="2">
                    <c:v>Compliance Team</c:v>
                  </c:pt>
                  <c:pt idx="3">
                    <c:v>Compliance Officer</c:v>
                  </c:pt>
                  <c:pt idx="4">
                    <c:v>Compliance Team</c:v>
                  </c:pt>
                  <c:pt idx="5">
                    <c:v>IT Security Team</c:v>
                  </c:pt>
                  <c:pt idx="6">
                    <c:v>IT Security Team</c:v>
                  </c:pt>
                  <c:pt idx="7">
                    <c:v>IT Security Team</c:v>
                  </c:pt>
                  <c:pt idx="8">
                    <c:v>Security Team</c:v>
                  </c:pt>
                  <c:pt idx="9">
                    <c:v>Vendor Management</c:v>
                  </c:pt>
                  <c:pt idx="10">
                    <c:v>Security Team</c:v>
                  </c:pt>
                  <c:pt idx="11">
                    <c:v>IT Security Team</c:v>
                  </c:pt>
                  <c:pt idx="12">
                    <c:v>Security Team</c:v>
                  </c:pt>
                  <c:pt idx="13">
                    <c:v>Vendor Management</c:v>
                  </c:pt>
                  <c:pt idx="14">
                    <c:v>Network Admin</c:v>
                  </c:pt>
                  <c:pt idx="15">
                    <c:v>Data Center Ops</c:v>
                  </c:pt>
                  <c:pt idx="16">
                    <c:v>IT Infrastructure Team</c:v>
                  </c:pt>
                  <c:pt idx="17">
                    <c:v>Network Admin</c:v>
                  </c:pt>
                  <c:pt idx="18">
                    <c:v>IT Support</c:v>
                  </c:pt>
                  <c:pt idx="19">
                    <c:v>IT Support</c:v>
                  </c:pt>
                  <c:pt idx="20">
                    <c:v>IT Infrastructure Team</c:v>
                  </c:pt>
                  <c:pt idx="21">
                    <c:v>IT Support</c:v>
                  </c:pt>
                  <c:pt idx="22">
                    <c:v>Network Admin</c:v>
                  </c:pt>
                </c:lvl>
                <c:lvl>
                  <c:pt idx="0">
                    <c:v>Closed</c:v>
                  </c:pt>
                  <c:pt idx="1">
                    <c:v>In Progress</c:v>
                  </c:pt>
                  <c:pt idx="3">
                    <c:v>Open</c:v>
                  </c:pt>
                  <c:pt idx="5">
                    <c:v>In Progress</c:v>
                  </c:pt>
                  <c:pt idx="6">
                    <c:v>Mitigated</c:v>
                  </c:pt>
                  <c:pt idx="7">
                    <c:v>Open</c:v>
                  </c:pt>
                  <c:pt idx="9">
                    <c:v>In Progress</c:v>
                  </c:pt>
                  <c:pt idx="10">
                    <c:v>Mitigated</c:v>
                  </c:pt>
                  <c:pt idx="11">
                    <c:v>Open</c:v>
                  </c:pt>
                  <c:pt idx="14">
                    <c:v>Mitigated</c:v>
                  </c:pt>
                  <c:pt idx="15">
                    <c:v>Open</c:v>
                  </c:pt>
                  <c:pt idx="18">
                    <c:v>In Progress</c:v>
                  </c:pt>
                  <c:pt idx="19">
                    <c:v>Mitigated</c:v>
                  </c:pt>
                  <c:pt idx="20">
                    <c:v>Open</c:v>
                  </c:pt>
                </c:lvl>
                <c:lvl>
                  <c:pt idx="0">
                    <c:v>Compliance</c:v>
                  </c:pt>
                  <c:pt idx="5">
                    <c:v>Cybersecurity</c:v>
                  </c:pt>
                  <c:pt idx="9">
                    <c:v>Data Breach</c:v>
                  </c:pt>
                  <c:pt idx="14">
                    <c:v>Infrastructure</c:v>
                  </c:pt>
                  <c:pt idx="18">
                    <c:v>Operational</c:v>
                  </c:pt>
                </c:lvl>
              </c:multiLvlStrCache>
            </c:multiLvlStrRef>
          </c:cat>
          <c:val>
            <c:numRef>
              <c:f>'Pivot Table'!$D$4:$D$27</c:f>
              <c:numCache>
                <c:formatCode>General</c:formatCode>
                <c:ptCount val="23"/>
                <c:pt idx="0">
                  <c:v>12</c:v>
                </c:pt>
                <c:pt idx="1">
                  <c:v>39</c:v>
                </c:pt>
                <c:pt idx="2">
                  <c:v>27</c:v>
                </c:pt>
                <c:pt idx="3">
                  <c:v>9</c:v>
                </c:pt>
                <c:pt idx="4">
                  <c:v>6</c:v>
                </c:pt>
                <c:pt idx="5">
                  <c:v>40</c:v>
                </c:pt>
                <c:pt idx="6">
                  <c:v>6</c:v>
                </c:pt>
                <c:pt idx="7">
                  <c:v>72</c:v>
                </c:pt>
                <c:pt idx="8">
                  <c:v>32</c:v>
                </c:pt>
                <c:pt idx="9">
                  <c:v>20</c:v>
                </c:pt>
                <c:pt idx="10">
                  <c:v>10</c:v>
                </c:pt>
                <c:pt idx="11">
                  <c:v>115</c:v>
                </c:pt>
                <c:pt idx="12">
                  <c:v>45</c:v>
                </c:pt>
                <c:pt idx="13">
                  <c:v>25</c:v>
                </c:pt>
                <c:pt idx="14">
                  <c:v>15</c:v>
                </c:pt>
                <c:pt idx="15">
                  <c:v>45</c:v>
                </c:pt>
                <c:pt idx="16">
                  <c:v>30</c:v>
                </c:pt>
                <c:pt idx="17">
                  <c:v>60</c:v>
                </c:pt>
                <c:pt idx="18">
                  <c:v>6</c:v>
                </c:pt>
                <c:pt idx="19">
                  <c:v>6</c:v>
                </c:pt>
                <c:pt idx="20">
                  <c:v>44</c:v>
                </c:pt>
                <c:pt idx="21">
                  <c:v>26</c:v>
                </c:pt>
                <c:pt idx="22">
                  <c:v>8</c:v>
                </c:pt>
              </c:numCache>
            </c:numRef>
          </c:val>
          <c:extLst>
            <c:ext xmlns:c16="http://schemas.microsoft.com/office/drawing/2014/chart" uri="{C3380CC4-5D6E-409C-BE32-E72D297353CC}">
              <c16:uniqueId val="{00000000-6471-4A05-9D58-6C8407C52F86}"/>
            </c:ext>
          </c:extLst>
        </c:ser>
        <c:dLbls>
          <c:dLblPos val="inEnd"/>
          <c:showLegendKey val="0"/>
          <c:showVal val="1"/>
          <c:showCatName val="0"/>
          <c:showSerName val="0"/>
          <c:showPercent val="0"/>
          <c:showBubbleSize val="0"/>
        </c:dLbls>
        <c:gapWidth val="100"/>
        <c:overlap val="-24"/>
        <c:axId val="442802384"/>
        <c:axId val="442802864"/>
      </c:barChart>
      <c:catAx>
        <c:axId val="442802384"/>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Risk Category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442802864"/>
        <c:crosses val="autoZero"/>
        <c:auto val="1"/>
        <c:lblAlgn val="ctr"/>
        <c:lblOffset val="100"/>
        <c:noMultiLvlLbl val="0"/>
      </c:catAx>
      <c:valAx>
        <c:axId val="442802864"/>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Risk Score</a:t>
                </a:r>
              </a:p>
            </c:rich>
          </c:tx>
          <c:layout>
            <c:manualLayout>
              <c:xMode val="edge"/>
              <c:yMode val="edge"/>
              <c:x val="1.3821137503558671E-2"/>
              <c:y val="0.35048202153776892"/>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428023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Risk Mangement Dashboard.xlsm]Pivot Table!Risk Status Breakdown</c:name>
    <c:fmtId val="3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Risk</a:t>
            </a:r>
            <a:r>
              <a:rPr lang="en-US" baseline="0"/>
              <a:t> Status Breakdown</a:t>
            </a:r>
            <a:endParaRPr lang="en-US"/>
          </a:p>
        </c:rich>
      </c:tx>
      <c:overlay val="0"/>
      <c:spPr>
        <a:solidFill>
          <a:srgbClr val="9FD7FF"/>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dLbl>
          <c:idx val="0"/>
          <c:layout>
            <c:manualLayout>
              <c:x val="-1.5908230336805978E-2"/>
              <c:y val="-1.37145785896806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Table'!$J$3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2C61-472A-A38F-DF8A5B01164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2C61-472A-A38F-DF8A5B01164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2C61-472A-A38F-DF8A5B01164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2C61-472A-A38F-DF8A5B01164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2C61-472A-A38F-DF8A5B01164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2C61-472A-A38F-DF8A5B01164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2C61-472A-A38F-DF8A5B01164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2C61-472A-A38F-DF8A5B01164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2C61-472A-A38F-DF8A5B01164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2C61-472A-A38F-DF8A5B01164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2C61-472A-A38F-DF8A5B01164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2C61-472A-A38F-DF8A5B01164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2C61-472A-A38F-DF8A5B01164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2C61-472A-A38F-DF8A5B01164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2C61-472A-A38F-DF8A5B01164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2C61-472A-A38F-DF8A5B01164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2C61-472A-A38F-DF8A5B01164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2C61-472A-A38F-DF8A5B01164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2C61-472A-A38F-DF8A5B011643}"/>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2C61-472A-A38F-DF8A5B011643}"/>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2C61-472A-A38F-DF8A5B011643}"/>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2C61-472A-A38F-DF8A5B011643}"/>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2C61-472A-A38F-DF8A5B011643}"/>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2C61-472A-A38F-DF8A5B011643}"/>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2C61-472A-A38F-DF8A5B011643}"/>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2C61-472A-A38F-DF8A5B011643}"/>
              </c:ext>
            </c:extLst>
          </c:dPt>
          <c:dLbls>
            <c:dLbl>
              <c:idx val="11"/>
              <c:layout>
                <c:manualLayout>
                  <c:x val="-1.5908230336805978E-2"/>
                  <c:y val="-1.3714578589680608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2C61-472A-A38F-DF8A5B01164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'Pivot Table'!$G$4:$I$27</c:f>
              <c:multiLvlStrCache>
                <c:ptCount val="23"/>
                <c:lvl>
                  <c:pt idx="0">
                    <c:v>Compliance Team</c:v>
                  </c:pt>
                  <c:pt idx="1">
                    <c:v>Compliance Officer</c:v>
                  </c:pt>
                  <c:pt idx="2">
                    <c:v>Compliance Team</c:v>
                  </c:pt>
                  <c:pt idx="3">
                    <c:v>Compliance Officer</c:v>
                  </c:pt>
                  <c:pt idx="4">
                    <c:v>Compliance Team</c:v>
                  </c:pt>
                  <c:pt idx="5">
                    <c:v>IT Security Team</c:v>
                  </c:pt>
                  <c:pt idx="6">
                    <c:v>IT Security Team</c:v>
                  </c:pt>
                  <c:pt idx="7">
                    <c:v>IT Security Team</c:v>
                  </c:pt>
                  <c:pt idx="8">
                    <c:v>Security Team</c:v>
                  </c:pt>
                  <c:pt idx="9">
                    <c:v>Vendor Management</c:v>
                  </c:pt>
                  <c:pt idx="10">
                    <c:v>Security Team</c:v>
                  </c:pt>
                  <c:pt idx="11">
                    <c:v>IT Security Team</c:v>
                  </c:pt>
                  <c:pt idx="12">
                    <c:v>Security Team</c:v>
                  </c:pt>
                  <c:pt idx="13">
                    <c:v>Vendor Management</c:v>
                  </c:pt>
                  <c:pt idx="14">
                    <c:v>Network Admin</c:v>
                  </c:pt>
                  <c:pt idx="15">
                    <c:v>Data Center Ops</c:v>
                  </c:pt>
                  <c:pt idx="16">
                    <c:v>IT Infrastructure Team</c:v>
                  </c:pt>
                  <c:pt idx="17">
                    <c:v>Network Admin</c:v>
                  </c:pt>
                  <c:pt idx="18">
                    <c:v>IT Support</c:v>
                  </c:pt>
                  <c:pt idx="19">
                    <c:v>IT Support</c:v>
                  </c:pt>
                  <c:pt idx="20">
                    <c:v>IT Infrastructure Team</c:v>
                  </c:pt>
                  <c:pt idx="21">
                    <c:v>IT Support</c:v>
                  </c:pt>
                  <c:pt idx="22">
                    <c:v>Network Admin</c:v>
                  </c:pt>
                </c:lvl>
                <c:lvl>
                  <c:pt idx="0">
                    <c:v>Closed</c:v>
                  </c:pt>
                  <c:pt idx="1">
                    <c:v>In Progress</c:v>
                  </c:pt>
                  <c:pt idx="3">
                    <c:v>Open</c:v>
                  </c:pt>
                  <c:pt idx="5">
                    <c:v>In Progress</c:v>
                  </c:pt>
                  <c:pt idx="6">
                    <c:v>Mitigated</c:v>
                  </c:pt>
                  <c:pt idx="7">
                    <c:v>Open</c:v>
                  </c:pt>
                  <c:pt idx="9">
                    <c:v>In Progress</c:v>
                  </c:pt>
                  <c:pt idx="10">
                    <c:v>Mitigated</c:v>
                  </c:pt>
                  <c:pt idx="11">
                    <c:v>Open</c:v>
                  </c:pt>
                  <c:pt idx="14">
                    <c:v>Mitigated</c:v>
                  </c:pt>
                  <c:pt idx="15">
                    <c:v>Open</c:v>
                  </c:pt>
                  <c:pt idx="18">
                    <c:v>In Progress</c:v>
                  </c:pt>
                  <c:pt idx="19">
                    <c:v>Mitigated</c:v>
                  </c:pt>
                  <c:pt idx="20">
                    <c:v>Open</c:v>
                  </c:pt>
                </c:lvl>
                <c:lvl>
                  <c:pt idx="0">
                    <c:v>Compliance</c:v>
                  </c:pt>
                  <c:pt idx="5">
                    <c:v>Cybersecurity</c:v>
                  </c:pt>
                  <c:pt idx="9">
                    <c:v>Data Breach</c:v>
                  </c:pt>
                  <c:pt idx="14">
                    <c:v>Infrastructure</c:v>
                  </c:pt>
                  <c:pt idx="18">
                    <c:v>Operational</c:v>
                  </c:pt>
                </c:lvl>
              </c:multiLvlStrCache>
            </c:multiLvlStrRef>
          </c:cat>
          <c:val>
            <c:numRef>
              <c:f>'Pivot Table'!$J$4:$J$27</c:f>
              <c:numCache>
                <c:formatCode>General</c:formatCode>
                <c:ptCount val="23"/>
                <c:pt idx="0">
                  <c:v>12</c:v>
                </c:pt>
                <c:pt idx="1">
                  <c:v>39</c:v>
                </c:pt>
                <c:pt idx="2">
                  <c:v>27</c:v>
                </c:pt>
                <c:pt idx="3">
                  <c:v>9</c:v>
                </c:pt>
                <c:pt idx="4">
                  <c:v>6</c:v>
                </c:pt>
                <c:pt idx="5">
                  <c:v>40</c:v>
                </c:pt>
                <c:pt idx="6">
                  <c:v>6</c:v>
                </c:pt>
                <c:pt idx="7">
                  <c:v>72</c:v>
                </c:pt>
                <c:pt idx="8">
                  <c:v>32</c:v>
                </c:pt>
                <c:pt idx="9">
                  <c:v>20</c:v>
                </c:pt>
                <c:pt idx="10">
                  <c:v>10</c:v>
                </c:pt>
                <c:pt idx="11">
                  <c:v>115</c:v>
                </c:pt>
                <c:pt idx="12">
                  <c:v>45</c:v>
                </c:pt>
                <c:pt idx="13">
                  <c:v>25</c:v>
                </c:pt>
                <c:pt idx="14">
                  <c:v>15</c:v>
                </c:pt>
                <c:pt idx="15">
                  <c:v>45</c:v>
                </c:pt>
                <c:pt idx="16">
                  <c:v>30</c:v>
                </c:pt>
                <c:pt idx="17">
                  <c:v>60</c:v>
                </c:pt>
                <c:pt idx="18">
                  <c:v>6</c:v>
                </c:pt>
                <c:pt idx="19">
                  <c:v>6</c:v>
                </c:pt>
                <c:pt idx="20">
                  <c:v>44</c:v>
                </c:pt>
                <c:pt idx="21">
                  <c:v>26</c:v>
                </c:pt>
                <c:pt idx="22">
                  <c:v>8</c:v>
                </c:pt>
              </c:numCache>
            </c:numRef>
          </c:val>
          <c:extLst>
            <c:ext xmlns:c16="http://schemas.microsoft.com/office/drawing/2014/chart" uri="{C3380CC4-5D6E-409C-BE32-E72D297353CC}">
              <c16:uniqueId val="{00000034-2C61-472A-A38F-DF8A5B011643}"/>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Risk Mangement Dashboard.xlsm]Pivot Table!Risk Responsibility Overview</c:name>
    <c:fmtId val="34"/>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Risk Responsibility Overview</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Table'!$P$3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'Pivot Table'!$M$4:$O$27</c:f>
              <c:multiLvlStrCache>
                <c:ptCount val="23"/>
                <c:lvl>
                  <c:pt idx="0">
                    <c:v>Compliance Team</c:v>
                  </c:pt>
                  <c:pt idx="1">
                    <c:v>Compliance Officer</c:v>
                  </c:pt>
                  <c:pt idx="2">
                    <c:v>Compliance Team</c:v>
                  </c:pt>
                  <c:pt idx="3">
                    <c:v>Compliance Officer</c:v>
                  </c:pt>
                  <c:pt idx="4">
                    <c:v>Compliance Team</c:v>
                  </c:pt>
                  <c:pt idx="5">
                    <c:v>IT Security Team</c:v>
                  </c:pt>
                  <c:pt idx="6">
                    <c:v>IT Security Team</c:v>
                  </c:pt>
                  <c:pt idx="7">
                    <c:v>IT Security Team</c:v>
                  </c:pt>
                  <c:pt idx="8">
                    <c:v>Security Team</c:v>
                  </c:pt>
                  <c:pt idx="9">
                    <c:v>Vendor Management</c:v>
                  </c:pt>
                  <c:pt idx="10">
                    <c:v>Security Team</c:v>
                  </c:pt>
                  <c:pt idx="11">
                    <c:v>IT Security Team</c:v>
                  </c:pt>
                  <c:pt idx="12">
                    <c:v>Security Team</c:v>
                  </c:pt>
                  <c:pt idx="13">
                    <c:v>Vendor Management</c:v>
                  </c:pt>
                  <c:pt idx="14">
                    <c:v>Network Admin</c:v>
                  </c:pt>
                  <c:pt idx="15">
                    <c:v>Data Center Ops</c:v>
                  </c:pt>
                  <c:pt idx="16">
                    <c:v>IT Infrastructure Team</c:v>
                  </c:pt>
                  <c:pt idx="17">
                    <c:v>Network Admin</c:v>
                  </c:pt>
                  <c:pt idx="18">
                    <c:v>IT Support</c:v>
                  </c:pt>
                  <c:pt idx="19">
                    <c:v>IT Support</c:v>
                  </c:pt>
                  <c:pt idx="20">
                    <c:v>IT Infrastructure Team</c:v>
                  </c:pt>
                  <c:pt idx="21">
                    <c:v>IT Support</c:v>
                  </c:pt>
                  <c:pt idx="22">
                    <c:v>Network Admin</c:v>
                  </c:pt>
                </c:lvl>
                <c:lvl>
                  <c:pt idx="0">
                    <c:v>Closed</c:v>
                  </c:pt>
                  <c:pt idx="1">
                    <c:v>In Progress</c:v>
                  </c:pt>
                  <c:pt idx="3">
                    <c:v>Open</c:v>
                  </c:pt>
                  <c:pt idx="5">
                    <c:v>In Progress</c:v>
                  </c:pt>
                  <c:pt idx="6">
                    <c:v>Mitigated</c:v>
                  </c:pt>
                  <c:pt idx="7">
                    <c:v>Open</c:v>
                  </c:pt>
                  <c:pt idx="9">
                    <c:v>In Progress</c:v>
                  </c:pt>
                  <c:pt idx="10">
                    <c:v>Mitigated</c:v>
                  </c:pt>
                  <c:pt idx="11">
                    <c:v>Open</c:v>
                  </c:pt>
                  <c:pt idx="14">
                    <c:v>Mitigated</c:v>
                  </c:pt>
                  <c:pt idx="15">
                    <c:v>Open</c:v>
                  </c:pt>
                  <c:pt idx="18">
                    <c:v>In Progress</c:v>
                  </c:pt>
                  <c:pt idx="19">
                    <c:v>Mitigated</c:v>
                  </c:pt>
                  <c:pt idx="20">
                    <c:v>Open</c:v>
                  </c:pt>
                </c:lvl>
                <c:lvl>
                  <c:pt idx="0">
                    <c:v>Compliance</c:v>
                  </c:pt>
                  <c:pt idx="5">
                    <c:v>Cybersecurity</c:v>
                  </c:pt>
                  <c:pt idx="9">
                    <c:v>Data Breach</c:v>
                  </c:pt>
                  <c:pt idx="14">
                    <c:v>Infrastructure</c:v>
                  </c:pt>
                  <c:pt idx="18">
                    <c:v>Operational</c:v>
                  </c:pt>
                </c:lvl>
              </c:multiLvlStrCache>
            </c:multiLvlStrRef>
          </c:cat>
          <c:val>
            <c:numRef>
              <c:f>'Pivot Table'!$P$4:$P$27</c:f>
              <c:numCache>
                <c:formatCode>General</c:formatCode>
                <c:ptCount val="23"/>
                <c:pt idx="0">
                  <c:v>12</c:v>
                </c:pt>
                <c:pt idx="1">
                  <c:v>39</c:v>
                </c:pt>
                <c:pt idx="2">
                  <c:v>27</c:v>
                </c:pt>
                <c:pt idx="3">
                  <c:v>9</c:v>
                </c:pt>
                <c:pt idx="4">
                  <c:v>6</c:v>
                </c:pt>
                <c:pt idx="5">
                  <c:v>40</c:v>
                </c:pt>
                <c:pt idx="6">
                  <c:v>6</c:v>
                </c:pt>
                <c:pt idx="7">
                  <c:v>72</c:v>
                </c:pt>
                <c:pt idx="8">
                  <c:v>32</c:v>
                </c:pt>
                <c:pt idx="9">
                  <c:v>20</c:v>
                </c:pt>
                <c:pt idx="10">
                  <c:v>10</c:v>
                </c:pt>
                <c:pt idx="11">
                  <c:v>115</c:v>
                </c:pt>
                <c:pt idx="12">
                  <c:v>45</c:v>
                </c:pt>
                <c:pt idx="13">
                  <c:v>25</c:v>
                </c:pt>
                <c:pt idx="14">
                  <c:v>15</c:v>
                </c:pt>
                <c:pt idx="15">
                  <c:v>45</c:v>
                </c:pt>
                <c:pt idx="16">
                  <c:v>30</c:v>
                </c:pt>
                <c:pt idx="17">
                  <c:v>60</c:v>
                </c:pt>
                <c:pt idx="18">
                  <c:v>6</c:v>
                </c:pt>
                <c:pt idx="19">
                  <c:v>6</c:v>
                </c:pt>
                <c:pt idx="20">
                  <c:v>44</c:v>
                </c:pt>
                <c:pt idx="21">
                  <c:v>26</c:v>
                </c:pt>
                <c:pt idx="22">
                  <c:v>8</c:v>
                </c:pt>
              </c:numCache>
            </c:numRef>
          </c:val>
          <c:extLst>
            <c:ext xmlns:c16="http://schemas.microsoft.com/office/drawing/2014/chart" uri="{C3380CC4-5D6E-409C-BE32-E72D297353CC}">
              <c16:uniqueId val="{00000000-D61B-4095-8877-9C885EF66CFF}"/>
            </c:ext>
          </c:extLst>
        </c:ser>
        <c:dLbls>
          <c:dLblPos val="ctr"/>
          <c:showLegendKey val="0"/>
          <c:showVal val="1"/>
          <c:showCatName val="0"/>
          <c:showSerName val="0"/>
          <c:showPercent val="0"/>
          <c:showBubbleSize val="0"/>
        </c:dLbls>
        <c:gapWidth val="79"/>
        <c:overlap val="100"/>
        <c:axId val="812248096"/>
        <c:axId val="812248576"/>
      </c:barChart>
      <c:catAx>
        <c:axId val="812248096"/>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200" b="1" i="0" u="none" strike="noStrike" cap="all" baseline="0"/>
                  <a:t>Responsible Team/Person</a:t>
                </a:r>
                <a:endParaRPr lang="en-US" sz="1200" b="1"/>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812248576"/>
        <c:crosses val="autoZero"/>
        <c:auto val="1"/>
        <c:lblAlgn val="ctr"/>
        <c:lblOffset val="100"/>
        <c:noMultiLvlLbl val="0"/>
      </c:catAx>
      <c:valAx>
        <c:axId val="812248576"/>
        <c:scaling>
          <c:orientation val="minMax"/>
        </c:scaling>
        <c:delete val="1"/>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200" b="1" i="0" u="none" strike="noStrike" cap="all" baseline="0"/>
                  <a:t>Total Risk Score</a:t>
                </a:r>
                <a:endParaRPr lang="en-US" sz="1200" b="1"/>
              </a:p>
            </c:rich>
          </c:tx>
          <c:layout>
            <c:manualLayout>
              <c:xMode val="edge"/>
              <c:yMode val="edge"/>
              <c:x val="0.5178295086923197"/>
              <c:y val="0.95083507141283818"/>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812248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Risk Mangement Dashboard.xlsm]Pivot Table!Risk Identification Trend</c:name>
    <c:fmtId val="3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Risk Identification Trend Over Time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195271866891637E-2"/>
          <c:y val="0.11909415718560994"/>
          <c:w val="0.97160945626621675"/>
          <c:h val="0.50243096438108714"/>
        </c:manualLayout>
      </c:layout>
      <c:lineChart>
        <c:grouping val="standard"/>
        <c:varyColors val="0"/>
        <c:ser>
          <c:idx val="0"/>
          <c:order val="0"/>
          <c:tx>
            <c:strRef>
              <c:f>'Pivot Table'!$V$3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 Table'!$S$4:$U$27</c:f>
              <c:multiLvlStrCache>
                <c:ptCount val="23"/>
                <c:lvl>
                  <c:pt idx="0">
                    <c:v>Compliance Team</c:v>
                  </c:pt>
                  <c:pt idx="1">
                    <c:v>Compliance Officer</c:v>
                  </c:pt>
                  <c:pt idx="2">
                    <c:v>Compliance Team</c:v>
                  </c:pt>
                  <c:pt idx="3">
                    <c:v>Compliance Officer</c:v>
                  </c:pt>
                  <c:pt idx="4">
                    <c:v>Compliance Team</c:v>
                  </c:pt>
                  <c:pt idx="5">
                    <c:v>IT Security Team</c:v>
                  </c:pt>
                  <c:pt idx="6">
                    <c:v>IT Security Team</c:v>
                  </c:pt>
                  <c:pt idx="7">
                    <c:v>IT Security Team</c:v>
                  </c:pt>
                  <c:pt idx="8">
                    <c:v>Security Team</c:v>
                  </c:pt>
                  <c:pt idx="9">
                    <c:v>Vendor Management</c:v>
                  </c:pt>
                  <c:pt idx="10">
                    <c:v>Security Team</c:v>
                  </c:pt>
                  <c:pt idx="11">
                    <c:v>IT Security Team</c:v>
                  </c:pt>
                  <c:pt idx="12">
                    <c:v>Security Team</c:v>
                  </c:pt>
                  <c:pt idx="13">
                    <c:v>Vendor Management</c:v>
                  </c:pt>
                  <c:pt idx="14">
                    <c:v>Network Admin</c:v>
                  </c:pt>
                  <c:pt idx="15">
                    <c:v>Data Center Ops</c:v>
                  </c:pt>
                  <c:pt idx="16">
                    <c:v>IT Infrastructure Team</c:v>
                  </c:pt>
                  <c:pt idx="17">
                    <c:v>Network Admin</c:v>
                  </c:pt>
                  <c:pt idx="18">
                    <c:v>IT Support</c:v>
                  </c:pt>
                  <c:pt idx="19">
                    <c:v>IT Support</c:v>
                  </c:pt>
                  <c:pt idx="20">
                    <c:v>IT Infrastructure Team</c:v>
                  </c:pt>
                  <c:pt idx="21">
                    <c:v>IT Support</c:v>
                  </c:pt>
                  <c:pt idx="22">
                    <c:v>Network Admin</c:v>
                  </c:pt>
                </c:lvl>
                <c:lvl>
                  <c:pt idx="0">
                    <c:v>Closed</c:v>
                  </c:pt>
                  <c:pt idx="1">
                    <c:v>In Progress</c:v>
                  </c:pt>
                  <c:pt idx="3">
                    <c:v>Open</c:v>
                  </c:pt>
                  <c:pt idx="5">
                    <c:v>In Progress</c:v>
                  </c:pt>
                  <c:pt idx="6">
                    <c:v>Mitigated</c:v>
                  </c:pt>
                  <c:pt idx="7">
                    <c:v>Open</c:v>
                  </c:pt>
                  <c:pt idx="9">
                    <c:v>In Progress</c:v>
                  </c:pt>
                  <c:pt idx="10">
                    <c:v>Mitigated</c:v>
                  </c:pt>
                  <c:pt idx="11">
                    <c:v>Open</c:v>
                  </c:pt>
                  <c:pt idx="14">
                    <c:v>Mitigated</c:v>
                  </c:pt>
                  <c:pt idx="15">
                    <c:v>Open</c:v>
                  </c:pt>
                  <c:pt idx="18">
                    <c:v>In Progress</c:v>
                  </c:pt>
                  <c:pt idx="19">
                    <c:v>Mitigated</c:v>
                  </c:pt>
                  <c:pt idx="20">
                    <c:v>Open</c:v>
                  </c:pt>
                </c:lvl>
                <c:lvl>
                  <c:pt idx="0">
                    <c:v>Compliance</c:v>
                  </c:pt>
                  <c:pt idx="5">
                    <c:v>Cybersecurity</c:v>
                  </c:pt>
                  <c:pt idx="9">
                    <c:v>Data Breach</c:v>
                  </c:pt>
                  <c:pt idx="14">
                    <c:v>Infrastructure</c:v>
                  </c:pt>
                  <c:pt idx="18">
                    <c:v>Operational</c:v>
                  </c:pt>
                </c:lvl>
              </c:multiLvlStrCache>
            </c:multiLvlStrRef>
          </c:cat>
          <c:val>
            <c:numRef>
              <c:f>'Pivot Table'!$V$4:$V$27</c:f>
              <c:numCache>
                <c:formatCode>General</c:formatCode>
                <c:ptCount val="23"/>
                <c:pt idx="0">
                  <c:v>12</c:v>
                </c:pt>
                <c:pt idx="1">
                  <c:v>39</c:v>
                </c:pt>
                <c:pt idx="2">
                  <c:v>27</c:v>
                </c:pt>
                <c:pt idx="3">
                  <c:v>9</c:v>
                </c:pt>
                <c:pt idx="4">
                  <c:v>6</c:v>
                </c:pt>
                <c:pt idx="5">
                  <c:v>40</c:v>
                </c:pt>
                <c:pt idx="6">
                  <c:v>6</c:v>
                </c:pt>
                <c:pt idx="7">
                  <c:v>72</c:v>
                </c:pt>
                <c:pt idx="8">
                  <c:v>32</c:v>
                </c:pt>
                <c:pt idx="9">
                  <c:v>20</c:v>
                </c:pt>
                <c:pt idx="10">
                  <c:v>10</c:v>
                </c:pt>
                <c:pt idx="11">
                  <c:v>115</c:v>
                </c:pt>
                <c:pt idx="12">
                  <c:v>45</c:v>
                </c:pt>
                <c:pt idx="13">
                  <c:v>25</c:v>
                </c:pt>
                <c:pt idx="14">
                  <c:v>15</c:v>
                </c:pt>
                <c:pt idx="15">
                  <c:v>45</c:v>
                </c:pt>
                <c:pt idx="16">
                  <c:v>30</c:v>
                </c:pt>
                <c:pt idx="17">
                  <c:v>60</c:v>
                </c:pt>
                <c:pt idx="18">
                  <c:v>6</c:v>
                </c:pt>
                <c:pt idx="19">
                  <c:v>6</c:v>
                </c:pt>
                <c:pt idx="20">
                  <c:v>44</c:v>
                </c:pt>
                <c:pt idx="21">
                  <c:v>26</c:v>
                </c:pt>
                <c:pt idx="22">
                  <c:v>8</c:v>
                </c:pt>
              </c:numCache>
            </c:numRef>
          </c:val>
          <c:smooth val="0"/>
          <c:extLst>
            <c:ext xmlns:c16="http://schemas.microsoft.com/office/drawing/2014/chart" uri="{C3380CC4-5D6E-409C-BE32-E72D297353CC}">
              <c16:uniqueId val="{00000000-0166-4C4F-89A2-FDFA55EF5386}"/>
            </c:ext>
          </c:extLst>
        </c:ser>
        <c:dLbls>
          <c:dLblPos val="ctr"/>
          <c:showLegendKey val="0"/>
          <c:showVal val="1"/>
          <c:showCatName val="0"/>
          <c:showSerName val="0"/>
          <c:showPercent val="0"/>
          <c:showBubbleSize val="0"/>
        </c:dLbls>
        <c:marker val="1"/>
        <c:smooth val="0"/>
        <c:axId val="1052792912"/>
        <c:axId val="1052791952"/>
      </c:lineChart>
      <c:catAx>
        <c:axId val="1052792912"/>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sz="1200" b="1" i="0" u="none" strike="noStrike" baseline="0"/>
                  <a:t>Time/Category</a:t>
                </a:r>
                <a:endParaRPr lang="en-US" sz="1200"/>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052791952"/>
        <c:crosses val="autoZero"/>
        <c:auto val="1"/>
        <c:lblAlgn val="ctr"/>
        <c:lblOffset val="100"/>
        <c:tickLblSkip val="2"/>
        <c:noMultiLvlLbl val="0"/>
      </c:catAx>
      <c:valAx>
        <c:axId val="1052791952"/>
        <c:scaling>
          <c:orientation val="minMax"/>
        </c:scaling>
        <c:delete val="1"/>
        <c:axPos val="l"/>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sz="1200" b="1" i="0" u="none" strike="noStrike" baseline="0"/>
                  <a:t>Total Risk Score</a:t>
                </a:r>
                <a:endParaRPr lang="en-US" sz="1200"/>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crossAx val="10527929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29210</xdr:colOff>
      <xdr:row>1</xdr:row>
      <xdr:rowOff>153819</xdr:rowOff>
    </xdr:from>
    <xdr:to>
      <xdr:col>16</xdr:col>
      <xdr:colOff>201706</xdr:colOff>
      <xdr:row>26</xdr:row>
      <xdr:rowOff>118259</xdr:rowOff>
    </xdr:to>
    <xdr:graphicFrame macro="">
      <xdr:nvGraphicFramePr>
        <xdr:cNvPr id="6" name="Chart 5">
          <a:extLst>
            <a:ext uri="{FF2B5EF4-FFF2-40B4-BE49-F238E27FC236}">
              <a16:creationId xmlns:a16="http://schemas.microsoft.com/office/drawing/2014/main" id="{C8A26815-1778-4825-84E2-8D20B9802C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575235</xdr:colOff>
      <xdr:row>1</xdr:row>
      <xdr:rowOff>161813</xdr:rowOff>
    </xdr:from>
    <xdr:to>
      <xdr:col>33</xdr:col>
      <xdr:colOff>44823</xdr:colOff>
      <xdr:row>26</xdr:row>
      <xdr:rowOff>163083</xdr:rowOff>
    </xdr:to>
    <xdr:graphicFrame macro="">
      <xdr:nvGraphicFramePr>
        <xdr:cNvPr id="7" name="Chart 6">
          <a:extLst>
            <a:ext uri="{FF2B5EF4-FFF2-40B4-BE49-F238E27FC236}">
              <a16:creationId xmlns:a16="http://schemas.microsoft.com/office/drawing/2014/main" id="{EFB50C46-DC5C-4304-B5CA-78302903A7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18378</xdr:colOff>
      <xdr:row>28</xdr:row>
      <xdr:rowOff>160693</xdr:rowOff>
    </xdr:from>
    <xdr:to>
      <xdr:col>16</xdr:col>
      <xdr:colOff>10758</xdr:colOff>
      <xdr:row>59</xdr:row>
      <xdr:rowOff>19499</xdr:rowOff>
    </xdr:to>
    <xdr:graphicFrame macro="">
      <xdr:nvGraphicFramePr>
        <xdr:cNvPr id="8" name="Chart 7">
          <a:extLst>
            <a:ext uri="{FF2B5EF4-FFF2-40B4-BE49-F238E27FC236}">
              <a16:creationId xmlns:a16="http://schemas.microsoft.com/office/drawing/2014/main" id="{563C75F2-86BA-4090-A904-E0E7D12AA5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59764</xdr:colOff>
      <xdr:row>29</xdr:row>
      <xdr:rowOff>39893</xdr:rowOff>
    </xdr:from>
    <xdr:to>
      <xdr:col>34</xdr:col>
      <xdr:colOff>32421</xdr:colOff>
      <xdr:row>59</xdr:row>
      <xdr:rowOff>72913</xdr:rowOff>
    </xdr:to>
    <xdr:graphicFrame macro="">
      <xdr:nvGraphicFramePr>
        <xdr:cNvPr id="9" name="Chart 8">
          <a:extLst>
            <a:ext uri="{FF2B5EF4-FFF2-40B4-BE49-F238E27FC236}">
              <a16:creationId xmlns:a16="http://schemas.microsoft.com/office/drawing/2014/main" id="{3E11720F-A841-4DF9-88A3-9BF8BFA1EC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34</xdr:col>
      <xdr:colOff>337446</xdr:colOff>
      <xdr:row>17</xdr:row>
      <xdr:rowOff>67237</xdr:rowOff>
    </xdr:from>
    <xdr:to>
      <xdr:col>37</xdr:col>
      <xdr:colOff>331918</xdr:colOff>
      <xdr:row>27</xdr:row>
      <xdr:rowOff>27494</xdr:rowOff>
    </xdr:to>
    <mc:AlternateContent xmlns:mc="http://schemas.openxmlformats.org/markup-compatibility/2006" xmlns:a14="http://schemas.microsoft.com/office/drawing/2010/main">
      <mc:Choice Requires="a14">
        <xdr:graphicFrame macro="">
          <xdr:nvGraphicFramePr>
            <xdr:cNvPr id="5" name="Risk Category">
              <a:extLst>
                <a:ext uri="{FF2B5EF4-FFF2-40B4-BE49-F238E27FC236}">
                  <a16:creationId xmlns:a16="http://schemas.microsoft.com/office/drawing/2014/main" id="{C82FD098-6CD1-4D00-ADD1-7A6A2C802606}"/>
                </a:ext>
              </a:extLst>
            </xdr:cNvPr>
            <xdr:cNvGraphicFramePr/>
          </xdr:nvGraphicFramePr>
          <xdr:xfrm>
            <a:off x="0" y="0"/>
            <a:ext cx="0" cy="0"/>
          </xdr:xfrm>
          <a:graphic>
            <a:graphicData uri="http://schemas.microsoft.com/office/drawing/2010/slicer">
              <sle:slicer xmlns:sle="http://schemas.microsoft.com/office/drawing/2010/slicer" name="Risk Category"/>
            </a:graphicData>
          </a:graphic>
        </xdr:graphicFrame>
      </mc:Choice>
      <mc:Fallback xmlns="">
        <xdr:sp macro="" textlink="">
          <xdr:nvSpPr>
            <xdr:cNvPr id="0" name=""/>
            <xdr:cNvSpPr>
              <a:spLocks noTextEdit="1"/>
            </xdr:cNvSpPr>
          </xdr:nvSpPr>
          <xdr:spPr>
            <a:xfrm>
              <a:off x="21166716" y="3318213"/>
              <a:ext cx="1832237" cy="17531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34</xdr:col>
      <xdr:colOff>346859</xdr:colOff>
      <xdr:row>28</xdr:row>
      <xdr:rowOff>115049</xdr:rowOff>
    </xdr:from>
    <xdr:to>
      <xdr:col>37</xdr:col>
      <xdr:colOff>346859</xdr:colOff>
      <xdr:row>36</xdr:row>
      <xdr:rowOff>133202</xdr:rowOff>
    </xdr:to>
    <mc:AlternateContent xmlns:mc="http://schemas.openxmlformats.org/markup-compatibility/2006" xmlns:a14="http://schemas.microsoft.com/office/drawing/2010/main">
      <mc:Choice Requires="a14">
        <xdr:graphicFrame macro="">
          <xdr:nvGraphicFramePr>
            <xdr:cNvPr id="10" name="Status">
              <a:extLst>
                <a:ext uri="{FF2B5EF4-FFF2-40B4-BE49-F238E27FC236}">
                  <a16:creationId xmlns:a16="http://schemas.microsoft.com/office/drawing/2014/main" id="{81C34EFC-1F4E-44DA-AD83-7BACC981FFFB}"/>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21173589" y="5336990"/>
              <a:ext cx="1837765" cy="14499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34</xdr:col>
      <xdr:colOff>301363</xdr:colOff>
      <xdr:row>0</xdr:row>
      <xdr:rowOff>376668</xdr:rowOff>
    </xdr:from>
    <xdr:to>
      <xdr:col>38</xdr:col>
      <xdr:colOff>327437</xdr:colOff>
      <xdr:row>15</xdr:row>
      <xdr:rowOff>141942</xdr:rowOff>
    </xdr:to>
    <mc:AlternateContent xmlns:mc="http://schemas.openxmlformats.org/markup-compatibility/2006" xmlns:a14="http://schemas.microsoft.com/office/drawing/2010/main">
      <mc:Choice Requires="a14">
        <xdr:graphicFrame macro="">
          <xdr:nvGraphicFramePr>
            <xdr:cNvPr id="12" name="Owner/Resoponsible Person">
              <a:extLst>
                <a:ext uri="{FF2B5EF4-FFF2-40B4-BE49-F238E27FC236}">
                  <a16:creationId xmlns:a16="http://schemas.microsoft.com/office/drawing/2014/main" id="{C37D9222-4A93-4DD7-B8FA-7295E57F1A58}"/>
                </a:ext>
              </a:extLst>
            </xdr:cNvPr>
            <xdr:cNvGraphicFramePr/>
          </xdr:nvGraphicFramePr>
          <xdr:xfrm>
            <a:off x="0" y="0"/>
            <a:ext cx="0" cy="0"/>
          </xdr:xfrm>
          <a:graphic>
            <a:graphicData uri="http://schemas.microsoft.com/office/drawing/2010/slicer">
              <sle:slicer xmlns:sle="http://schemas.microsoft.com/office/drawing/2010/slicer" name="Owner/Resoponsible Person"/>
            </a:graphicData>
          </a:graphic>
        </xdr:graphicFrame>
      </mc:Choice>
      <mc:Fallback xmlns="">
        <xdr:sp macro="" textlink="">
          <xdr:nvSpPr>
            <xdr:cNvPr id="0" name=""/>
            <xdr:cNvSpPr>
              <a:spLocks noTextEdit="1"/>
            </xdr:cNvSpPr>
          </xdr:nvSpPr>
          <xdr:spPr>
            <a:xfrm>
              <a:off x="21129363" y="377938"/>
              <a:ext cx="2478967" cy="26563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xdr:colOff>
          <xdr:row>1</xdr:row>
          <xdr:rowOff>38100</xdr:rowOff>
        </xdr:from>
        <xdr:to>
          <xdr:col>9</xdr:col>
          <xdr:colOff>601980</xdr:colOff>
          <xdr:row>2</xdr:row>
          <xdr:rowOff>167640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Times New Roman"/>
                  <a:cs typeface="Times New Roman"/>
                </a:rPr>
                <a:t>Generate High Risk Report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edwon Sagor" refreshedDate="45914.228335879627" createdVersion="8" refreshedVersion="8" minRefreshableVersion="3" recordCount="50" xr:uid="{669486C4-16DD-4C35-B4FF-15FEE1209962}">
  <cacheSource type="worksheet">
    <worksheetSource name="Table2"/>
  </cacheSource>
  <cacheFields count="12">
    <cacheField name="Risk ID" numFmtId="0">
      <sharedItems/>
    </cacheField>
    <cacheField name="Risk Category" numFmtId="0">
      <sharedItems containsBlank="1" count="6">
        <s v="Cybersecurity"/>
        <s v="Compliance"/>
        <s v="Operational"/>
        <s v="Data Breach"/>
        <s v="Infrastructure"/>
        <m u="1"/>
      </sharedItems>
    </cacheField>
    <cacheField name="Risk Description" numFmtId="0">
      <sharedItems/>
    </cacheField>
    <cacheField name="Likelihood(1-5)" numFmtId="0">
      <sharedItems containsSemiMixedTypes="0" containsString="0" containsNumber="1" containsInteger="1" minValue="2" maxValue="5"/>
    </cacheField>
    <cacheField name="Impact(1-5)" numFmtId="0">
      <sharedItems containsSemiMixedTypes="0" containsString="0" containsNumber="1" containsInteger="1" minValue="2" maxValue="5"/>
    </cacheField>
    <cacheField name="Risk Score" numFmtId="0">
      <sharedItems containsSemiMixedTypes="0" containsString="0" containsNumber="1" containsInteger="1" minValue="6" maxValue="25"/>
    </cacheField>
    <cacheField name="Mitigation Plan" numFmtId="0">
      <sharedItems/>
    </cacheField>
    <cacheField name="Status" numFmtId="0">
      <sharedItems containsBlank="1" count="5">
        <s v="Open"/>
        <s v="In Progress"/>
        <s v="Mitigated"/>
        <s v="Closed"/>
        <m u="1"/>
      </sharedItems>
    </cacheField>
    <cacheField name="Owner/Resoponsible Person" numFmtId="0">
      <sharedItems containsBlank="1" count="12">
        <s v="IT Security Team"/>
        <s v="Compliance Officer"/>
        <s v="IT Infrastructure Team"/>
        <s v="Security Team"/>
        <s v="Network Admin"/>
        <s v="Compliance Team"/>
        <s v="IT Support"/>
        <s v="Vendor Management"/>
        <s v="Data Center Ops"/>
        <s v="IT Securtiy Team" u="1"/>
        <s v="IT Secuirtiy Team" u="1"/>
        <m u="1"/>
      </sharedItems>
    </cacheField>
    <cacheField name="Data Identified" numFmtId="0">
      <sharedItems containsDate="1" containsMixedTypes="1" minDate="2024-05-12T00:00:00" maxDate="2025-12-04T00:00:00"/>
    </cacheField>
    <cacheField name="Due Date for Mitigation" numFmtId="14">
      <sharedItems containsDate="1" containsMixedTypes="1" minDate="2025-01-03T00:00:00" maxDate="2025-11-13T00:00:00"/>
    </cacheField>
    <cacheField name="Notes/Comments" numFmtId="0">
      <sharedItems/>
    </cacheField>
  </cacheFields>
  <extLst>
    <ext xmlns:x14="http://schemas.microsoft.com/office/spreadsheetml/2009/9/main" uri="{725AE2AE-9491-48be-B2B4-4EB974FC3084}">
      <x14:pivotCacheDefinition pivotCacheId="12529292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R001"/>
    <x v="0"/>
    <s v="Unauthorized access to the internal system"/>
    <n v="4"/>
    <n v="5"/>
    <n v="20"/>
    <s v="Implement multi-factor authentication"/>
    <x v="0"/>
    <x v="0"/>
    <d v="2025-02-07T00:00:00"/>
    <d v="2025-11-12T00:00:00"/>
    <s v="High priority"/>
  </r>
  <r>
    <s v="R002"/>
    <x v="1"/>
    <s v="Non-compliance with GDPR"/>
    <n v="3"/>
    <n v="5"/>
    <n v="15"/>
    <s v="Regular audits and training"/>
    <x v="1"/>
    <x v="1"/>
    <d v="2025-10-01T00:00:00"/>
    <s v="28/02/2025"/>
    <s v="Audit scheduled"/>
  </r>
  <r>
    <s v="R003"/>
    <x v="2"/>
    <s v="Server downtime due to failure"/>
    <n v="5"/>
    <n v="4"/>
    <n v="20"/>
    <s v="Backup and failover system"/>
    <x v="0"/>
    <x v="2"/>
    <s v="20/01/2025"/>
    <d v="2025-10-02T00:00:00"/>
    <s v="Investigating root cause"/>
  </r>
  <r>
    <s v="R004"/>
    <x v="3"/>
    <s v="Data leakage through phishing"/>
    <n v="2"/>
    <n v="5"/>
    <n v="10"/>
    <s v="Employee phishing awareness training"/>
    <x v="2"/>
    <x v="3"/>
    <d v="2024-05-12T00:00:00"/>
    <d v="2025-05-01T00:00:00"/>
    <s v="Training completed"/>
  </r>
  <r>
    <s v="R005"/>
    <x v="4"/>
    <s v="Outdated firewall vulnerabilities"/>
    <n v="4"/>
    <n v="3"/>
    <n v="12"/>
    <s v="Upgrade firewall and patch vulnerabilities"/>
    <x v="0"/>
    <x v="4"/>
    <s v="15/01/2025"/>
    <s v="20/02/2025"/>
    <s v="Patches pending"/>
  </r>
  <r>
    <s v="R006"/>
    <x v="0"/>
    <s v="Weak password policies"/>
    <n v="3"/>
    <n v="4"/>
    <n v="12"/>
    <s v="Enforce strong password policies"/>
    <x v="1"/>
    <x v="0"/>
    <s v="25/01/2025"/>
    <d v="2025-05-03T00:00:00"/>
    <s v="Policy update in review"/>
  </r>
  <r>
    <s v="R007"/>
    <x v="1"/>
    <s v="Unauthorized software usage"/>
    <n v="2"/>
    <n v="3"/>
    <n v="6"/>
    <s v="Implement software approval workflow"/>
    <x v="3"/>
    <x v="5"/>
    <s v="18/11/2024"/>
    <s v="15/12/2024"/>
    <s v="Issue resolved"/>
  </r>
  <r>
    <s v="R008"/>
    <x v="2"/>
    <s v="IT support response delays"/>
    <n v="3"/>
    <n v="2"/>
    <n v="6"/>
    <s v="Increase IT helpdesk staff"/>
    <x v="0"/>
    <x v="6"/>
    <s v="30/01/2025"/>
    <s v="15/02/2025"/>
    <s v="Under evaluation"/>
  </r>
  <r>
    <s v="R009"/>
    <x v="3"/>
    <s v="Third-party vendor data breach"/>
    <n v="4"/>
    <n v="5"/>
    <n v="20"/>
    <s v="Vendor security audit"/>
    <x v="1"/>
    <x v="7"/>
    <d v="2025-12-01T00:00:00"/>
    <s v="25/02/2025"/>
    <s v="Awaiting vendor compliance"/>
  </r>
  <r>
    <s v="R010"/>
    <x v="4"/>
    <s v="Power outage affecting data center"/>
    <n v="5"/>
    <n v="4"/>
    <n v="20"/>
    <s v="Deploy backup power generators"/>
    <x v="0"/>
    <x v="8"/>
    <d v="2025-03-02T00:00:00"/>
    <s v="20/02/2025"/>
    <s v="High impact risk"/>
  </r>
  <r>
    <s v="R011"/>
    <x v="0"/>
    <s v="Unpatched security vulnerabilities"/>
    <n v="5"/>
    <n v="4"/>
    <n v="20"/>
    <s v="Patch management system"/>
    <x v="0"/>
    <x v="0"/>
    <d v="2025-01-02T00:00:00"/>
    <s v="20/02/2025"/>
    <s v="Critical issue"/>
  </r>
  <r>
    <s v="R012"/>
    <x v="1"/>
    <s v="Missing compliance documentation"/>
    <n v="3"/>
    <n v="4"/>
    <n v="12"/>
    <s v="Regular compliance audits"/>
    <x v="1"/>
    <x v="1"/>
    <d v="2025-10-01T00:00:00"/>
    <s v="_x0009_05/03/2025"/>
    <s v="Needs review"/>
  </r>
  <r>
    <s v="R013"/>
    <x v="2"/>
    <s v="Server overheating"/>
    <n v="4"/>
    <n v="3"/>
    <n v="12"/>
    <s v="Cooling system upgrade"/>
    <x v="0"/>
    <x v="2"/>
    <s v="15/01/2025"/>
    <s v="25/02/2025"/>
    <s v="Equipment upgrade required"/>
  </r>
  <r>
    <s v="R014"/>
    <x v="3"/>
    <s v="Unauthorized third-party access"/>
    <n v="5"/>
    <n v="5"/>
    <n v="25"/>
    <s v="Vendor security assessments"/>
    <x v="0"/>
    <x v="7"/>
    <s v="20/01/2025"/>
    <d v="2025-01-03T00:00:00"/>
    <s v="High priority risk"/>
  </r>
  <r>
    <s v="R015"/>
    <x v="4"/>
    <s v="Power surge affecting network"/>
    <n v="3"/>
    <n v="5"/>
    <n v="15"/>
    <s v="Install surge protectors"/>
    <x v="2"/>
    <x v="4"/>
    <d v="2024-05-12T00:00:00"/>
    <s v="15/01/2025"/>
    <s v="Completed"/>
  </r>
  <r>
    <s v="R016"/>
    <x v="0"/>
    <s v="Ransomware attack possiblity"/>
    <n v="4"/>
    <n v="5"/>
    <n v="20"/>
    <s v="Regular backups and training"/>
    <x v="0"/>
    <x v="0"/>
    <s v="01.01.2024"/>
    <s v="20/02/2025"/>
    <s v="Cyberattack prevention"/>
  </r>
  <r>
    <s v="R017"/>
    <x v="1"/>
    <s v="Failure in SOX compliance"/>
    <n v="2"/>
    <n v="3"/>
    <n v="6"/>
    <s v="Compliance workflow automation"/>
    <x v="3"/>
    <x v="5"/>
    <s v="10.11.2024"/>
    <s v="15/12/2024"/>
    <s v="Issue resolved"/>
  </r>
  <r>
    <s v="R018"/>
    <x v="2"/>
    <s v="Inconsistent system performance"/>
    <n v="3"/>
    <n v="2"/>
    <n v="6"/>
    <s v="System performance monitoring"/>
    <x v="1"/>
    <x v="6"/>
    <s v="30/01/2025"/>
    <d v="2025-10-02T00:00:00"/>
    <s v="Investigation ongoing"/>
  </r>
  <r>
    <s v="R019"/>
    <x v="3"/>
    <s v="Insider data leak"/>
    <n v="4"/>
    <n v="5"/>
    <n v="20"/>
    <s v="Employee monitoring tools"/>
    <x v="0"/>
    <x v="0"/>
    <d v="2025-12-01T00:00:00"/>
    <s v="28/02/2025"/>
    <s v="High-risk scenario"/>
  </r>
  <r>
    <s v="R020"/>
    <x v="4"/>
    <s v="Old routers causing downtime"/>
    <n v="4"/>
    <n v="4"/>
    <n v="16"/>
    <s v="Upgrade network infrastructure"/>
    <x v="0"/>
    <x v="4"/>
    <s v="20/01/2025"/>
    <s v="15/03/2025"/>
    <s v="Planning stage"/>
  </r>
  <r>
    <s v="R021"/>
    <x v="0"/>
    <s v="Social engineering attack"/>
    <n v="4"/>
    <n v="4"/>
    <n v="16"/>
    <s v="Employee security training"/>
    <x v="1"/>
    <x v="0"/>
    <s v="25/01/2025"/>
    <d v="2025-05-03T00:00:00"/>
    <s v="Awareness program started"/>
  </r>
  <r>
    <s v="R022"/>
    <x v="1"/>
    <s v="Poor data retention policy"/>
    <n v="3"/>
    <n v="3"/>
    <n v="9"/>
    <s v="Implement automated data retention"/>
    <x v="0"/>
    <x v="1"/>
    <d v="2025-10-02T00:00:00"/>
    <s v="30/03/2025"/>
    <s v="Drafting policies"/>
  </r>
  <r>
    <s v="R023"/>
    <x v="2"/>
    <s v="VPN connectivity issues"/>
    <n v="2"/>
    <n v="3"/>
    <n v="6"/>
    <s v="VPN configuration optimization"/>
    <x v="2"/>
    <x v="6"/>
    <d v="2025-05-01T00:00:00"/>
    <s v="15/02/2025"/>
    <s v="Issue resolved"/>
  </r>
  <r>
    <s v="R024"/>
    <x v="3"/>
    <s v="Weak API security"/>
    <n v="4"/>
    <n v="5"/>
    <n v="20"/>
    <s v="API security enhancements"/>
    <x v="0"/>
    <x v="3"/>
    <d v="2025-01-02T00:00:00"/>
    <d v="2025-01-03T00:00:00"/>
    <s v="Needs urgent action"/>
  </r>
  <r>
    <s v="R025"/>
    <x v="4"/>
    <s v="Data center cooling failure"/>
    <n v="5"/>
    <n v="5"/>
    <n v="25"/>
    <s v="Upgrade cooling systems"/>
    <x v="0"/>
    <x v="8"/>
    <s v="15/02/2025"/>
    <d v="2025-10-04T00:00:00"/>
    <s v="High-impact issue"/>
  </r>
  <r>
    <s v="R026"/>
    <x v="0"/>
    <s v="Phishing attack success rate"/>
    <n v="3"/>
    <n v="4"/>
    <n v="12"/>
    <s v="Anti-phishing measures"/>
    <x v="1"/>
    <x v="0"/>
    <s v="25/01/2025"/>
    <s v="20/02/2025"/>
    <s v="Training required"/>
  </r>
  <r>
    <s v="R027"/>
    <x v="1"/>
    <s v="Misconfigured GDPR policies"/>
    <n v="2"/>
    <n v="3"/>
    <n v="6"/>
    <s v="Review &amp; update policies"/>
    <x v="0"/>
    <x v="5"/>
    <d v="2025-12-01T00:00:00"/>
    <s v="28/02/2025"/>
    <s v="Needs revision"/>
  </r>
  <r>
    <s v="R028"/>
    <x v="2"/>
    <s v="Network bandwidth issues"/>
    <n v="4"/>
    <n v="2"/>
    <n v="8"/>
    <s v="Increase network capacity"/>
    <x v="0"/>
    <x v="4"/>
    <s v="30/01/2025"/>
    <s v="15/03/2025"/>
    <s v="Under review"/>
  </r>
  <r>
    <s v="R029"/>
    <x v="3"/>
    <s v="Cloud storage misconfiguration"/>
    <n v="5"/>
    <n v="5"/>
    <n v="25"/>
    <s v="Cloud security assessment"/>
    <x v="0"/>
    <x v="0"/>
    <s v="20/01/2025"/>
    <d v="2025-10-03T00:00:00"/>
    <s v="Critical issue"/>
  </r>
  <r>
    <s v="R030"/>
    <x v="4"/>
    <s v="Faulty server hardware"/>
    <n v="4"/>
    <n v="3"/>
    <n v="12"/>
    <s v="Replace outdated hardware"/>
    <x v="0"/>
    <x v="2"/>
    <s v="15/02/2025"/>
    <d v="2025-05-04T00:00:00"/>
    <s v="Hardware replacement needed"/>
  </r>
  <r>
    <s v="R031"/>
    <x v="0"/>
    <s v="Malware infiltration"/>
    <n v="3"/>
    <n v="4"/>
    <n v="12"/>
    <s v="Install endpoint security"/>
    <x v="0"/>
    <x v="0"/>
    <d v="2025-04-02T00:00:00"/>
    <s v="18/02/2025"/>
    <s v="Antivirus upgrade required"/>
  </r>
  <r>
    <s v="R032"/>
    <x v="1"/>
    <s v="Weak password policies"/>
    <n v="2"/>
    <n v="3"/>
    <n v="6"/>
    <s v="Enforce password policy"/>
    <x v="1"/>
    <x v="5"/>
    <d v="2025-08-02T00:00:00"/>
    <s v="22/02/2025"/>
    <s v="MFA rollout in progress"/>
  </r>
  <r>
    <s v="R033"/>
    <x v="2"/>
    <s v="IT support ticket backlog"/>
    <n v="3"/>
    <n v="2"/>
    <n v="6"/>
    <s v="Hire additional support"/>
    <x v="0"/>
    <x v="6"/>
    <d v="2025-10-02T00:00:00"/>
    <s v="28/02/2025"/>
    <s v="High response time reported"/>
  </r>
  <r>
    <s v="R034"/>
    <x v="3"/>
    <s v="Misconfigured firewalls"/>
    <n v="5"/>
    <n v="4"/>
    <n v="20"/>
    <s v="Firewall audit &amp; tuning"/>
    <x v="0"/>
    <x v="0"/>
    <d v="2025-12-02T00:00:00"/>
    <d v="2025-05-03T00:00:00"/>
    <s v="Network security risk"/>
  </r>
  <r>
    <s v="R035"/>
    <x v="4"/>
    <s v="Fiber optic cable damage"/>
    <n v="4"/>
    <n v="5"/>
    <n v="20"/>
    <s v="Repair fiber optic lines"/>
    <x v="0"/>
    <x v="4"/>
    <s v="15/02/2025"/>
    <d v="2025-01-04T00:00:00"/>
    <s v="_x0009_Major connectivity issue"/>
  </r>
  <r>
    <s v="R036"/>
    <x v="0"/>
    <s v="USB device vulnerabilities"/>
    <n v="2"/>
    <n v="3"/>
    <n v="6"/>
    <s v="Restrict USB usage"/>
    <x v="2"/>
    <x v="0"/>
    <s v="18/02/2025"/>
    <s v="28/02/2025"/>
    <s v="Policy updated"/>
  </r>
  <r>
    <s v="R037"/>
    <x v="1"/>
    <s v="_x0009_Non-compliant software"/>
    <n v="3"/>
    <n v="4"/>
    <n v="12"/>
    <s v="Software compliance audit"/>
    <x v="1"/>
    <x v="1"/>
    <s v="20/02/2025"/>
    <d v="2025-10-03T00:00:00"/>
    <s v="Audit scheduled"/>
  </r>
  <r>
    <s v="R038"/>
    <x v="2"/>
    <s v="Frequent software crashes"/>
    <n v="4"/>
    <n v="2"/>
    <n v="8"/>
    <s v="Bug fixing &amp; updates"/>
    <x v="0"/>
    <x v="6"/>
    <s v="22/02/2025"/>
    <d v="2025-05-03T00:00:00"/>
    <s v="Patch in development"/>
  </r>
  <r>
    <s v="R039"/>
    <x v="3"/>
    <s v="Public S3 bucket exposure"/>
    <n v="5"/>
    <n v="5"/>
    <n v="25"/>
    <s v="Secure cloud storage"/>
    <x v="0"/>
    <x v="3"/>
    <s v="25/02/2025"/>
    <s v="15/03/2025"/>
    <s v="Critical cloud risk"/>
  </r>
  <r>
    <s v="R040"/>
    <x v="4"/>
    <s v="Poor Wi-Fi coverage"/>
    <n v="2"/>
    <n v="3"/>
    <n v="6"/>
    <s v="Improve wireless infrastructure"/>
    <x v="0"/>
    <x v="2"/>
    <s v="28/02/2025"/>
    <d v="2025-10-04T00:00:00"/>
    <s v="Weak signal reported"/>
  </r>
  <r>
    <s v="R041"/>
    <x v="0"/>
    <s v="DDoS attack vulnerability"/>
    <n v="4"/>
    <n v="5"/>
    <n v="20"/>
    <s v="Deploy DDoS protection"/>
    <x v="0"/>
    <x v="3"/>
    <d v="2025-02-03T00:00:00"/>
    <s v="20/03/2025"/>
    <s v="Risk of downtime"/>
  </r>
  <r>
    <s v="R042"/>
    <x v="1"/>
    <s v="Regulatory audit failure"/>
    <n v="3"/>
    <n v="4"/>
    <n v="12"/>
    <s v="Prepare for audits"/>
    <x v="1"/>
    <x v="5"/>
    <d v="2025-05-03T00:00:00"/>
    <s v="25/03/2025"/>
    <s v="Audit preparation ongoing"/>
  </r>
  <r>
    <s v="R043"/>
    <x v="2"/>
    <s v="Legacy systems causing delays"/>
    <n v="4"/>
    <n v="3"/>
    <n v="12"/>
    <s v="System upgrades"/>
    <x v="0"/>
    <x v="2"/>
    <d v="2025-08-03T00:00:00"/>
    <s v="30/03/2025"/>
    <s v="Upgrade in planning phase"/>
  </r>
  <r>
    <s v="R044"/>
    <x v="3"/>
    <s v="Stolen employee credentials"/>
    <n v="5"/>
    <n v="5"/>
    <n v="25"/>
    <s v="Implement MFA"/>
    <x v="0"/>
    <x v="0"/>
    <d v="2025-10-03T00:00:00"/>
    <d v="2025-01-04T00:00:00"/>
    <s v="Urgent security breach"/>
  </r>
  <r>
    <s v="R045"/>
    <x v="4"/>
    <s v="High latency in cloud services"/>
    <n v="4"/>
    <n v="3"/>
    <n v="12"/>
    <s v="Optimize cloud performance"/>
    <x v="0"/>
    <x v="2"/>
    <d v="2025-12-03T00:00:00"/>
    <d v="2025-05-04T00:00:00"/>
    <s v="Cloud slowness reported"/>
  </r>
  <r>
    <s v="R046"/>
    <x v="0"/>
    <s v="Unsecured IoT devices"/>
    <n v="3"/>
    <n v="4"/>
    <n v="12"/>
    <s v="Implement IoT security protocols"/>
    <x v="0"/>
    <x v="3"/>
    <s v="14/03/2025"/>
    <d v="2025-10-04T00:00:00"/>
    <s v="IoT threat detected"/>
  </r>
  <r>
    <s v="R047"/>
    <x v="1"/>
    <s v="Missing security training"/>
    <n v="3"/>
    <n v="3"/>
    <n v="9"/>
    <s v="Conduct security awareness sessions"/>
    <x v="1"/>
    <x v="5"/>
    <s v="16/03/2025"/>
    <s v="30/03/2025"/>
    <s v="Awareness needed"/>
  </r>
  <r>
    <s v="R048"/>
    <x v="2"/>
    <s v="Slow system boot times"/>
    <n v="2"/>
    <n v="3"/>
    <n v="6"/>
    <s v="Improve system performance"/>
    <x v="0"/>
    <x v="6"/>
    <s v="18/03/2025"/>
    <d v="2025-05-04T00:00:00"/>
    <s v="Investigation ongoing"/>
  </r>
  <r>
    <s v="R049"/>
    <x v="3"/>
    <s v="Exposed database credentials"/>
    <n v="5"/>
    <n v="5"/>
    <n v="25"/>
    <s v="Rotate database credentials"/>
    <x v="0"/>
    <x v="0"/>
    <s v="20/03/2025"/>
    <d v="2025-10-04T00:00:00"/>
    <s v="Major security risk"/>
  </r>
  <r>
    <s v="R050"/>
    <x v="4"/>
    <s v="Unstable network switches"/>
    <n v="4"/>
    <n v="3"/>
    <n v="12"/>
    <s v="Upgrade network switches"/>
    <x v="0"/>
    <x v="4"/>
    <s v="22/03/2025"/>
    <s v="15/04/2025"/>
    <s v="Needs urgent replacemen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1A61DD-9CB7-4ECD-B043-54023F8EE031}" name="Risk Responsibility Overview" cacheId="36" applyNumberFormats="0" applyBorderFormats="0" applyFontFormats="0" applyPatternFormats="0" applyAlignmentFormats="0" applyWidthHeightFormats="1" dataCaption="Values" updatedVersion="8" minRefreshableVersion="3" itemPrintTitles="1" createdVersion="8" indent="0" compact="0" compactData="0" multipleFieldFilters="0" chartFormat="37">
  <location ref="M3:P27" firstHeaderRow="1" firstDataRow="1" firstDataCol="3"/>
  <pivotFields count="12">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6">
        <item x="1"/>
        <item x="0"/>
        <item x="3"/>
        <item x="4"/>
        <item x="2"/>
        <item m="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3"/>
        <item x="1"/>
        <item x="2"/>
        <item x="0"/>
        <item m="1" x="4"/>
      </items>
      <extLst>
        <ext xmlns:x14="http://schemas.microsoft.com/office/spreadsheetml/2009/9/main" uri="{2946ED86-A175-432a-8AC1-64E0C546D7DE}">
          <x14:pivotField fillDownLabels="1"/>
        </ext>
      </extLst>
    </pivotField>
    <pivotField axis="axisRow" compact="0" outline="0" showAll="0" defaultSubtotal="0">
      <items count="12">
        <item x="1"/>
        <item x="5"/>
        <item x="8"/>
        <item x="2"/>
        <item x="0"/>
        <item x="6"/>
        <item x="4"/>
        <item x="3"/>
        <item x="7"/>
        <item m="1" x="11"/>
        <item m="1" x="10"/>
        <item m="1"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7"/>
    <field x="8"/>
  </rowFields>
  <rowItems count="24">
    <i>
      <x/>
      <x/>
      <x v="1"/>
    </i>
    <i r="1">
      <x v="1"/>
      <x/>
    </i>
    <i r="2">
      <x v="1"/>
    </i>
    <i r="1">
      <x v="3"/>
      <x/>
    </i>
    <i r="2">
      <x v="1"/>
    </i>
    <i>
      <x v="1"/>
      <x v="1"/>
      <x v="4"/>
    </i>
    <i r="1">
      <x v="2"/>
      <x v="4"/>
    </i>
    <i r="1">
      <x v="3"/>
      <x v="4"/>
    </i>
    <i r="2">
      <x v="7"/>
    </i>
    <i>
      <x v="2"/>
      <x v="1"/>
      <x v="8"/>
    </i>
    <i r="1">
      <x v="2"/>
      <x v="7"/>
    </i>
    <i r="1">
      <x v="3"/>
      <x v="4"/>
    </i>
    <i r="2">
      <x v="7"/>
    </i>
    <i r="2">
      <x v="8"/>
    </i>
    <i>
      <x v="3"/>
      <x v="2"/>
      <x v="6"/>
    </i>
    <i r="1">
      <x v="3"/>
      <x v="2"/>
    </i>
    <i r="2">
      <x v="3"/>
    </i>
    <i r="2">
      <x v="6"/>
    </i>
    <i>
      <x v="4"/>
      <x v="1"/>
      <x v="5"/>
    </i>
    <i r="1">
      <x v="2"/>
      <x v="5"/>
    </i>
    <i r="1">
      <x v="3"/>
      <x v="3"/>
    </i>
    <i r="2">
      <x v="5"/>
    </i>
    <i r="2">
      <x v="6"/>
    </i>
    <i t="grand">
      <x/>
    </i>
  </rowItems>
  <colItems count="1">
    <i/>
  </colItems>
  <dataFields count="1">
    <dataField name="Total Risk Score" fld="5" baseField="1" baseItem="0"/>
  </dataFields>
  <formats count="5">
    <format dxfId="24">
      <pivotArea outline="0" collapsedLevelsAreSubtotals="1" fieldPosition="0"/>
    </format>
    <format dxfId="23">
      <pivotArea dataOnly="0" labelOnly="1" outline="0" axis="axisValues" fieldPosition="0"/>
    </format>
    <format dxfId="22">
      <pivotArea field="1" type="button" dataOnly="0" labelOnly="1" outline="0" axis="axisRow" fieldPosition="0"/>
    </format>
    <format dxfId="21">
      <pivotArea field="7" type="button" dataOnly="0" labelOnly="1" outline="0" axis="axisRow" fieldPosition="1"/>
    </format>
    <format dxfId="20">
      <pivotArea field="8" type="button" dataOnly="0" labelOnly="1" outline="0" axis="axisRow" fieldPosition="2"/>
    </format>
  </formats>
  <conditionalFormats count="2">
    <conditionalFormat priority="3">
      <pivotAreas count="1">
        <pivotArea type="data" outline="0" collapsedLevelsAreSubtotals="1" fieldPosition="0">
          <references count="4">
            <reference field="4294967294" count="1" selected="0">
              <x v="0"/>
            </reference>
            <reference field="1" count="5" selected="0">
              <x v="0"/>
              <x v="1"/>
              <x v="2"/>
              <x v="3"/>
              <x v="4"/>
            </reference>
            <reference field="7" count="4" selected="0">
              <x v="0"/>
              <x v="1"/>
              <x v="2"/>
              <x v="3"/>
            </reference>
            <reference field="8" count="9" selected="0">
              <x v="0"/>
              <x v="1"/>
              <x v="2"/>
              <x v="3"/>
              <x v="4"/>
              <x v="5"/>
              <x v="6"/>
              <x v="7"/>
              <x v="8"/>
            </reference>
          </references>
        </pivotArea>
      </pivotAreas>
    </conditionalFormat>
    <conditionalFormat priority="4">
      <pivotAreas count="1">
        <pivotArea type="data" outline="0" collapsedLevelsAreSubtotals="1" fieldPosition="0">
          <references count="4">
            <reference field="4294967294" count="1" selected="0">
              <x v="0"/>
            </reference>
            <reference field="1" count="5" selected="0">
              <x v="0"/>
              <x v="1"/>
              <x v="2"/>
              <x v="3"/>
              <x v="4"/>
            </reference>
            <reference field="7" count="4" selected="0">
              <x v="0"/>
              <x v="1"/>
              <x v="2"/>
              <x v="3"/>
            </reference>
            <reference field="8" count="9" selected="0">
              <x v="0"/>
              <x v="1"/>
              <x v="2"/>
              <x v="3"/>
              <x v="4"/>
              <x v="5"/>
              <x v="6"/>
              <x v="7"/>
              <x v="8"/>
            </reference>
          </references>
        </pivotArea>
      </pivotAreas>
    </conditionalFormat>
  </conditionalFormats>
  <chartFormats count="36">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6" format="28" series="1">
      <pivotArea type="data" outline="0" fieldPosition="0">
        <references count="1">
          <reference field="4294967294" count="1" selected="0">
            <x v="0"/>
          </reference>
        </references>
      </pivotArea>
    </chartFormat>
    <chartFormat chart="16" format="29">
      <pivotArea type="data" outline="0" fieldPosition="0">
        <references count="4">
          <reference field="4294967294" count="1" selected="0">
            <x v="0"/>
          </reference>
          <reference field="1" count="1" selected="0">
            <x v="0"/>
          </reference>
          <reference field="7" count="1" selected="0">
            <x v="0"/>
          </reference>
          <reference field="8" count="1" selected="0">
            <x v="1"/>
          </reference>
        </references>
      </pivotArea>
    </chartFormat>
    <chartFormat chart="16" format="30">
      <pivotArea type="data" outline="0" fieldPosition="0">
        <references count="4">
          <reference field="4294967294" count="1" selected="0">
            <x v="0"/>
          </reference>
          <reference field="1" count="1" selected="0">
            <x v="0"/>
          </reference>
          <reference field="7" count="1" selected="0">
            <x v="1"/>
          </reference>
          <reference field="8" count="1" selected="0">
            <x v="0"/>
          </reference>
        </references>
      </pivotArea>
    </chartFormat>
    <chartFormat chart="16" format="31">
      <pivotArea type="data" outline="0" fieldPosition="0">
        <references count="4">
          <reference field="4294967294" count="1" selected="0">
            <x v="0"/>
          </reference>
          <reference field="1" count="1" selected="0">
            <x v="0"/>
          </reference>
          <reference field="7" count="1" selected="0">
            <x v="1"/>
          </reference>
          <reference field="8" count="1" selected="0">
            <x v="1"/>
          </reference>
        </references>
      </pivotArea>
    </chartFormat>
    <chartFormat chart="16" format="32">
      <pivotArea type="data" outline="0" fieldPosition="0">
        <references count="4">
          <reference field="4294967294" count="1" selected="0">
            <x v="0"/>
          </reference>
          <reference field="1" count="1" selected="0">
            <x v="0"/>
          </reference>
          <reference field="7" count="1" selected="0">
            <x v="3"/>
          </reference>
          <reference field="8" count="1" selected="0">
            <x v="0"/>
          </reference>
        </references>
      </pivotArea>
    </chartFormat>
    <chartFormat chart="16" format="33">
      <pivotArea type="data" outline="0" fieldPosition="0">
        <references count="4">
          <reference field="4294967294" count="1" selected="0">
            <x v="0"/>
          </reference>
          <reference field="1" count="1" selected="0">
            <x v="0"/>
          </reference>
          <reference field="7" count="1" selected="0">
            <x v="3"/>
          </reference>
          <reference field="8" count="1" selected="0">
            <x v="1"/>
          </reference>
        </references>
      </pivotArea>
    </chartFormat>
    <chartFormat chart="16" format="34">
      <pivotArea type="data" outline="0" fieldPosition="0">
        <references count="4">
          <reference field="4294967294" count="1" selected="0">
            <x v="0"/>
          </reference>
          <reference field="1" count="1" selected="0">
            <x v="1"/>
          </reference>
          <reference field="7" count="1" selected="0">
            <x v="1"/>
          </reference>
          <reference field="8" count="1" selected="0">
            <x v="4"/>
          </reference>
        </references>
      </pivotArea>
    </chartFormat>
    <chartFormat chart="16" format="35">
      <pivotArea type="data" outline="0" fieldPosition="0">
        <references count="4">
          <reference field="4294967294" count="1" selected="0">
            <x v="0"/>
          </reference>
          <reference field="1" count="1" selected="0">
            <x v="1"/>
          </reference>
          <reference field="7" count="1" selected="0">
            <x v="1"/>
          </reference>
          <reference field="8" count="1" selected="0">
            <x v="10"/>
          </reference>
        </references>
      </pivotArea>
    </chartFormat>
    <chartFormat chart="16" format="36">
      <pivotArea type="data" outline="0" fieldPosition="0">
        <references count="4">
          <reference field="4294967294" count="1" selected="0">
            <x v="0"/>
          </reference>
          <reference field="1" count="1" selected="0">
            <x v="1"/>
          </reference>
          <reference field="7" count="1" selected="0">
            <x v="2"/>
          </reference>
          <reference field="8" count="1" selected="0">
            <x v="4"/>
          </reference>
        </references>
      </pivotArea>
    </chartFormat>
    <chartFormat chart="16" format="37">
      <pivotArea type="data" outline="0" fieldPosition="0">
        <references count="4">
          <reference field="4294967294" count="1" selected="0">
            <x v="0"/>
          </reference>
          <reference field="1" count="1" selected="0">
            <x v="1"/>
          </reference>
          <reference field="7" count="1" selected="0">
            <x v="3"/>
          </reference>
          <reference field="8" count="1" selected="0">
            <x v="4"/>
          </reference>
        </references>
      </pivotArea>
    </chartFormat>
    <chartFormat chart="16" format="38">
      <pivotArea type="data" outline="0" fieldPosition="0">
        <references count="4">
          <reference field="4294967294" count="1" selected="0">
            <x v="0"/>
          </reference>
          <reference field="1" count="1" selected="0">
            <x v="1"/>
          </reference>
          <reference field="7" count="1" selected="0">
            <x v="3"/>
          </reference>
          <reference field="8" count="1" selected="0">
            <x v="7"/>
          </reference>
        </references>
      </pivotArea>
    </chartFormat>
    <chartFormat chart="16" format="39">
      <pivotArea type="data" outline="0" fieldPosition="0">
        <references count="4">
          <reference field="4294967294" count="1" selected="0">
            <x v="0"/>
          </reference>
          <reference field="1" count="1" selected="0">
            <x v="1"/>
          </reference>
          <reference field="7" count="1" selected="0">
            <x v="3"/>
          </reference>
          <reference field="8" count="1" selected="0">
            <x v="10"/>
          </reference>
        </references>
      </pivotArea>
    </chartFormat>
    <chartFormat chart="16" format="40">
      <pivotArea type="data" outline="0" fieldPosition="0">
        <references count="4">
          <reference field="4294967294" count="1" selected="0">
            <x v="0"/>
          </reference>
          <reference field="1" count="1" selected="0">
            <x v="2"/>
          </reference>
          <reference field="7" count="1" selected="0">
            <x v="1"/>
          </reference>
          <reference field="8" count="1" selected="0">
            <x v="8"/>
          </reference>
        </references>
      </pivotArea>
    </chartFormat>
    <chartFormat chart="16" format="41">
      <pivotArea type="data" outline="0" fieldPosition="0">
        <references count="4">
          <reference field="4294967294" count="1" selected="0">
            <x v="0"/>
          </reference>
          <reference field="1" count="1" selected="0">
            <x v="2"/>
          </reference>
          <reference field="7" count="1" selected="0">
            <x v="2"/>
          </reference>
          <reference field="8" count="1" selected="0">
            <x v="7"/>
          </reference>
        </references>
      </pivotArea>
    </chartFormat>
    <chartFormat chart="16" format="42">
      <pivotArea type="data" outline="0" fieldPosition="0">
        <references count="4">
          <reference field="4294967294" count="1" selected="0">
            <x v="0"/>
          </reference>
          <reference field="1" count="1" selected="0">
            <x v="2"/>
          </reference>
          <reference field="7" count="1" selected="0">
            <x v="3"/>
          </reference>
          <reference field="8" count="1" selected="0">
            <x v="4"/>
          </reference>
        </references>
      </pivotArea>
    </chartFormat>
    <chartFormat chart="16" format="43">
      <pivotArea type="data" outline="0" fieldPosition="0">
        <references count="4">
          <reference field="4294967294" count="1" selected="0">
            <x v="0"/>
          </reference>
          <reference field="1" count="1" selected="0">
            <x v="2"/>
          </reference>
          <reference field="7" count="1" selected="0">
            <x v="3"/>
          </reference>
          <reference field="8" count="1" selected="0">
            <x v="7"/>
          </reference>
        </references>
      </pivotArea>
    </chartFormat>
    <chartFormat chart="16" format="44">
      <pivotArea type="data" outline="0" fieldPosition="0">
        <references count="4">
          <reference field="4294967294" count="1" selected="0">
            <x v="0"/>
          </reference>
          <reference field="1" count="1" selected="0">
            <x v="2"/>
          </reference>
          <reference field="7" count="1" selected="0">
            <x v="3"/>
          </reference>
          <reference field="8" count="1" selected="0">
            <x v="8"/>
          </reference>
        </references>
      </pivotArea>
    </chartFormat>
    <chartFormat chart="16" format="45">
      <pivotArea type="data" outline="0" fieldPosition="0">
        <references count="4">
          <reference field="4294967294" count="1" selected="0">
            <x v="0"/>
          </reference>
          <reference field="1" count="1" selected="0">
            <x v="2"/>
          </reference>
          <reference field="7" count="1" selected="0">
            <x v="3"/>
          </reference>
          <reference field="8" count="1" selected="0">
            <x v="10"/>
          </reference>
        </references>
      </pivotArea>
    </chartFormat>
    <chartFormat chart="16" format="46">
      <pivotArea type="data" outline="0" fieldPosition="0">
        <references count="4">
          <reference field="4294967294" count="1" selected="0">
            <x v="0"/>
          </reference>
          <reference field="1" count="1" selected="0">
            <x v="3"/>
          </reference>
          <reference field="7" count="1" selected="0">
            <x v="2"/>
          </reference>
          <reference field="8" count="1" selected="0">
            <x v="6"/>
          </reference>
        </references>
      </pivotArea>
    </chartFormat>
    <chartFormat chart="16" format="47">
      <pivotArea type="data" outline="0" fieldPosition="0">
        <references count="4">
          <reference field="4294967294" count="1" selected="0">
            <x v="0"/>
          </reference>
          <reference field="1" count="1" selected="0">
            <x v="3"/>
          </reference>
          <reference field="7" count="1" selected="0">
            <x v="3"/>
          </reference>
          <reference field="8" count="1" selected="0">
            <x v="2"/>
          </reference>
        </references>
      </pivotArea>
    </chartFormat>
    <chartFormat chart="16" format="48">
      <pivotArea type="data" outline="0" fieldPosition="0">
        <references count="4">
          <reference field="4294967294" count="1" selected="0">
            <x v="0"/>
          </reference>
          <reference field="1" count="1" selected="0">
            <x v="3"/>
          </reference>
          <reference field="7" count="1" selected="0">
            <x v="3"/>
          </reference>
          <reference field="8" count="1" selected="0">
            <x v="3"/>
          </reference>
        </references>
      </pivotArea>
    </chartFormat>
    <chartFormat chart="16" format="49">
      <pivotArea type="data" outline="0" fieldPosition="0">
        <references count="4">
          <reference field="4294967294" count="1" selected="0">
            <x v="0"/>
          </reference>
          <reference field="1" count="1" selected="0">
            <x v="3"/>
          </reference>
          <reference field="7" count="1" selected="0">
            <x v="3"/>
          </reference>
          <reference field="8" count="1" selected="0">
            <x v="6"/>
          </reference>
        </references>
      </pivotArea>
    </chartFormat>
    <chartFormat chart="16" format="50">
      <pivotArea type="data" outline="0" fieldPosition="0">
        <references count="4">
          <reference field="4294967294" count="1" selected="0">
            <x v="0"/>
          </reference>
          <reference field="1" count="1" selected="0">
            <x v="4"/>
          </reference>
          <reference field="7" count="1" selected="0">
            <x v="1"/>
          </reference>
          <reference field="8" count="1" selected="0">
            <x v="5"/>
          </reference>
        </references>
      </pivotArea>
    </chartFormat>
    <chartFormat chart="16" format="51">
      <pivotArea type="data" outline="0" fieldPosition="0">
        <references count="4">
          <reference field="4294967294" count="1" selected="0">
            <x v="0"/>
          </reference>
          <reference field="1" count="1" selected="0">
            <x v="4"/>
          </reference>
          <reference field="7" count="1" selected="0">
            <x v="2"/>
          </reference>
          <reference field="8" count="1" selected="0">
            <x v="5"/>
          </reference>
        </references>
      </pivotArea>
    </chartFormat>
    <chartFormat chart="16" format="52">
      <pivotArea type="data" outline="0" fieldPosition="0">
        <references count="4">
          <reference field="4294967294" count="1" selected="0">
            <x v="0"/>
          </reference>
          <reference field="1" count="1" selected="0">
            <x v="4"/>
          </reference>
          <reference field="7" count="1" selected="0">
            <x v="3"/>
          </reference>
          <reference field="8" count="1" selected="0">
            <x v="3"/>
          </reference>
        </references>
      </pivotArea>
    </chartFormat>
    <chartFormat chart="16" format="53">
      <pivotArea type="data" outline="0" fieldPosition="0">
        <references count="4">
          <reference field="4294967294" count="1" selected="0">
            <x v="0"/>
          </reference>
          <reference field="1" count="1" selected="0">
            <x v="4"/>
          </reference>
          <reference field="7" count="1" selected="0">
            <x v="3"/>
          </reference>
          <reference field="8" count="1" selected="0">
            <x v="5"/>
          </reference>
        </references>
      </pivotArea>
    </chartFormat>
    <chartFormat chart="16" format="54">
      <pivotArea type="data" outline="0" fieldPosition="0">
        <references count="4">
          <reference field="4294967294" count="1" selected="0">
            <x v="0"/>
          </reference>
          <reference field="1" count="1" selected="0">
            <x v="4"/>
          </reference>
          <reference field="7" count="1" selected="0">
            <x v="3"/>
          </reference>
          <reference field="8" count="1" selected="0">
            <x v="6"/>
          </reference>
        </references>
      </pivotArea>
    </chartFormat>
    <chartFormat chart="18"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BC6B82-434B-442E-800A-B1E23C6D9346}" name="Risk Status Breakdown" cacheId="36" applyNumberFormats="0" applyBorderFormats="0" applyFontFormats="0" applyPatternFormats="0" applyAlignmentFormats="0" applyWidthHeightFormats="1" dataCaption="Values" updatedVersion="8" minRefreshableVersion="3" itemPrintTitles="1" createdVersion="8" indent="0" compact="0" compactData="0" multipleFieldFilters="0" chartFormat="37">
  <location ref="G3:J27" firstHeaderRow="1" firstDataRow="1" firstDataCol="3"/>
  <pivotFields count="12">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6">
        <item x="1"/>
        <item x="0"/>
        <item x="3"/>
        <item x="4"/>
        <item x="2"/>
        <item m="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3"/>
        <item x="1"/>
        <item x="2"/>
        <item x="0"/>
        <item m="1" x="4"/>
      </items>
      <extLst>
        <ext xmlns:x14="http://schemas.microsoft.com/office/spreadsheetml/2009/9/main" uri="{2946ED86-A175-432a-8AC1-64E0C546D7DE}">
          <x14:pivotField fillDownLabels="1"/>
        </ext>
      </extLst>
    </pivotField>
    <pivotField axis="axisRow" compact="0" outline="0" showAll="0" defaultSubtotal="0">
      <items count="12">
        <item x="1"/>
        <item x="5"/>
        <item x="8"/>
        <item x="2"/>
        <item x="0"/>
        <item x="6"/>
        <item x="4"/>
        <item x="3"/>
        <item x="7"/>
        <item m="1" x="11"/>
        <item m="1" x="10"/>
        <item m="1"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7"/>
    <field x="8"/>
  </rowFields>
  <rowItems count="24">
    <i>
      <x/>
      <x/>
      <x v="1"/>
    </i>
    <i r="1">
      <x v="1"/>
      <x/>
    </i>
    <i r="2">
      <x v="1"/>
    </i>
    <i r="1">
      <x v="3"/>
      <x/>
    </i>
    <i r="2">
      <x v="1"/>
    </i>
    <i>
      <x v="1"/>
      <x v="1"/>
      <x v="4"/>
    </i>
    <i r="1">
      <x v="2"/>
      <x v="4"/>
    </i>
    <i r="1">
      <x v="3"/>
      <x v="4"/>
    </i>
    <i r="2">
      <x v="7"/>
    </i>
    <i>
      <x v="2"/>
      <x v="1"/>
      <x v="8"/>
    </i>
    <i r="1">
      <x v="2"/>
      <x v="7"/>
    </i>
    <i r="1">
      <x v="3"/>
      <x v="4"/>
    </i>
    <i r="2">
      <x v="7"/>
    </i>
    <i r="2">
      <x v="8"/>
    </i>
    <i>
      <x v="3"/>
      <x v="2"/>
      <x v="6"/>
    </i>
    <i r="1">
      <x v="3"/>
      <x v="2"/>
    </i>
    <i r="2">
      <x v="3"/>
    </i>
    <i r="2">
      <x v="6"/>
    </i>
    <i>
      <x v="4"/>
      <x v="1"/>
      <x v="5"/>
    </i>
    <i r="1">
      <x v="2"/>
      <x v="5"/>
    </i>
    <i r="1">
      <x v="3"/>
      <x v="3"/>
    </i>
    <i r="2">
      <x v="5"/>
    </i>
    <i r="2">
      <x v="6"/>
    </i>
    <i t="grand">
      <x/>
    </i>
  </rowItems>
  <colItems count="1">
    <i/>
  </colItems>
  <dataFields count="1">
    <dataField name="Total Risk Score" fld="5" baseField="1" baseItem="0"/>
  </dataFields>
  <formats count="5">
    <format dxfId="29">
      <pivotArea outline="0" collapsedLevelsAreSubtotals="1" fieldPosition="0"/>
    </format>
    <format dxfId="28">
      <pivotArea dataOnly="0" labelOnly="1" outline="0" axis="axisValues" fieldPosition="0"/>
    </format>
    <format dxfId="27">
      <pivotArea field="1" type="button" dataOnly="0" labelOnly="1" outline="0" axis="axisRow" fieldPosition="0"/>
    </format>
    <format dxfId="26">
      <pivotArea field="7" type="button" dataOnly="0" labelOnly="1" outline="0" axis="axisRow" fieldPosition="1"/>
    </format>
    <format dxfId="25">
      <pivotArea field="8" type="button" dataOnly="0" labelOnly="1" outline="0" axis="axisRow" fieldPosition="2"/>
    </format>
  </formats>
  <conditionalFormats count="2">
    <conditionalFormat priority="5">
      <pivotAreas count="1">
        <pivotArea type="data" outline="0" collapsedLevelsAreSubtotals="1" fieldPosition="0">
          <references count="4">
            <reference field="4294967294" count="1" selected="0">
              <x v="0"/>
            </reference>
            <reference field="1" count="5" selected="0">
              <x v="0"/>
              <x v="1"/>
              <x v="2"/>
              <x v="3"/>
              <x v="4"/>
            </reference>
            <reference field="7" count="4" selected="0">
              <x v="0"/>
              <x v="1"/>
              <x v="2"/>
              <x v="3"/>
            </reference>
            <reference field="8" count="9" selected="0">
              <x v="0"/>
              <x v="1"/>
              <x v="2"/>
              <x v="3"/>
              <x v="4"/>
              <x v="5"/>
              <x v="6"/>
              <x v="7"/>
              <x v="8"/>
            </reference>
          </references>
        </pivotArea>
      </pivotAreas>
    </conditionalFormat>
    <conditionalFormat priority="6">
      <pivotAreas count="1">
        <pivotArea type="data" outline="0" collapsedLevelsAreSubtotals="1" fieldPosition="0">
          <references count="4">
            <reference field="4294967294" count="1" selected="0">
              <x v="0"/>
            </reference>
            <reference field="1" count="5" selected="0">
              <x v="0"/>
              <x v="1"/>
              <x v="2"/>
              <x v="3"/>
              <x v="4"/>
            </reference>
            <reference field="7" count="4" selected="0">
              <x v="0"/>
              <x v="1"/>
              <x v="2"/>
              <x v="3"/>
            </reference>
            <reference field="8" count="9" selected="0">
              <x v="0"/>
              <x v="1"/>
              <x v="2"/>
              <x v="3"/>
              <x v="4"/>
              <x v="5"/>
              <x v="6"/>
              <x v="7"/>
              <x v="8"/>
            </reference>
          </references>
        </pivotArea>
      </pivotAreas>
    </conditionalFormat>
  </conditionalFormats>
  <chartFormats count="62">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6" format="28" series="1">
      <pivotArea type="data" outline="0" fieldPosition="0">
        <references count="1">
          <reference field="4294967294" count="1" selected="0">
            <x v="0"/>
          </reference>
        </references>
      </pivotArea>
    </chartFormat>
    <chartFormat chart="16" format="29">
      <pivotArea type="data" outline="0" fieldPosition="0">
        <references count="4">
          <reference field="4294967294" count="1" selected="0">
            <x v="0"/>
          </reference>
          <reference field="1" count="1" selected="0">
            <x v="0"/>
          </reference>
          <reference field="7" count="1" selected="0">
            <x v="0"/>
          </reference>
          <reference field="8" count="1" selected="0">
            <x v="1"/>
          </reference>
        </references>
      </pivotArea>
    </chartFormat>
    <chartFormat chart="16" format="30">
      <pivotArea type="data" outline="0" fieldPosition="0">
        <references count="4">
          <reference field="4294967294" count="1" selected="0">
            <x v="0"/>
          </reference>
          <reference field="1" count="1" selected="0">
            <x v="0"/>
          </reference>
          <reference field="7" count="1" selected="0">
            <x v="1"/>
          </reference>
          <reference field="8" count="1" selected="0">
            <x v="0"/>
          </reference>
        </references>
      </pivotArea>
    </chartFormat>
    <chartFormat chart="16" format="31">
      <pivotArea type="data" outline="0" fieldPosition="0">
        <references count="4">
          <reference field="4294967294" count="1" selected="0">
            <x v="0"/>
          </reference>
          <reference field="1" count="1" selected="0">
            <x v="0"/>
          </reference>
          <reference field="7" count="1" selected="0">
            <x v="1"/>
          </reference>
          <reference field="8" count="1" selected="0">
            <x v="1"/>
          </reference>
        </references>
      </pivotArea>
    </chartFormat>
    <chartFormat chart="16" format="32">
      <pivotArea type="data" outline="0" fieldPosition="0">
        <references count="4">
          <reference field="4294967294" count="1" selected="0">
            <x v="0"/>
          </reference>
          <reference field="1" count="1" selected="0">
            <x v="0"/>
          </reference>
          <reference field="7" count="1" selected="0">
            <x v="3"/>
          </reference>
          <reference field="8" count="1" selected="0">
            <x v="0"/>
          </reference>
        </references>
      </pivotArea>
    </chartFormat>
    <chartFormat chart="16" format="33">
      <pivotArea type="data" outline="0" fieldPosition="0">
        <references count="4">
          <reference field="4294967294" count="1" selected="0">
            <x v="0"/>
          </reference>
          <reference field="1" count="1" selected="0">
            <x v="0"/>
          </reference>
          <reference field="7" count="1" selected="0">
            <x v="3"/>
          </reference>
          <reference field="8" count="1" selected="0">
            <x v="1"/>
          </reference>
        </references>
      </pivotArea>
    </chartFormat>
    <chartFormat chart="16" format="34">
      <pivotArea type="data" outline="0" fieldPosition="0">
        <references count="4">
          <reference field="4294967294" count="1" selected="0">
            <x v="0"/>
          </reference>
          <reference field="1" count="1" selected="0">
            <x v="1"/>
          </reference>
          <reference field="7" count="1" selected="0">
            <x v="1"/>
          </reference>
          <reference field="8" count="1" selected="0">
            <x v="4"/>
          </reference>
        </references>
      </pivotArea>
    </chartFormat>
    <chartFormat chart="16" format="35">
      <pivotArea type="data" outline="0" fieldPosition="0">
        <references count="4">
          <reference field="4294967294" count="1" selected="0">
            <x v="0"/>
          </reference>
          <reference field="1" count="1" selected="0">
            <x v="1"/>
          </reference>
          <reference field="7" count="1" selected="0">
            <x v="1"/>
          </reference>
          <reference field="8" count="1" selected="0">
            <x v="10"/>
          </reference>
        </references>
      </pivotArea>
    </chartFormat>
    <chartFormat chart="16" format="36">
      <pivotArea type="data" outline="0" fieldPosition="0">
        <references count="4">
          <reference field="4294967294" count="1" selected="0">
            <x v="0"/>
          </reference>
          <reference field="1" count="1" selected="0">
            <x v="1"/>
          </reference>
          <reference field="7" count="1" selected="0">
            <x v="2"/>
          </reference>
          <reference field="8" count="1" selected="0">
            <x v="4"/>
          </reference>
        </references>
      </pivotArea>
    </chartFormat>
    <chartFormat chart="16" format="37">
      <pivotArea type="data" outline="0" fieldPosition="0">
        <references count="4">
          <reference field="4294967294" count="1" selected="0">
            <x v="0"/>
          </reference>
          <reference field="1" count="1" selected="0">
            <x v="1"/>
          </reference>
          <reference field="7" count="1" selected="0">
            <x v="3"/>
          </reference>
          <reference field="8" count="1" selected="0">
            <x v="4"/>
          </reference>
        </references>
      </pivotArea>
    </chartFormat>
    <chartFormat chart="16" format="38">
      <pivotArea type="data" outline="0" fieldPosition="0">
        <references count="4">
          <reference field="4294967294" count="1" selected="0">
            <x v="0"/>
          </reference>
          <reference field="1" count="1" selected="0">
            <x v="1"/>
          </reference>
          <reference field="7" count="1" selected="0">
            <x v="3"/>
          </reference>
          <reference field="8" count="1" selected="0">
            <x v="7"/>
          </reference>
        </references>
      </pivotArea>
    </chartFormat>
    <chartFormat chart="16" format="39">
      <pivotArea type="data" outline="0" fieldPosition="0">
        <references count="4">
          <reference field="4294967294" count="1" selected="0">
            <x v="0"/>
          </reference>
          <reference field="1" count="1" selected="0">
            <x v="1"/>
          </reference>
          <reference field="7" count="1" selected="0">
            <x v="3"/>
          </reference>
          <reference field="8" count="1" selected="0">
            <x v="10"/>
          </reference>
        </references>
      </pivotArea>
    </chartFormat>
    <chartFormat chart="16" format="40">
      <pivotArea type="data" outline="0" fieldPosition="0">
        <references count="4">
          <reference field="4294967294" count="1" selected="0">
            <x v="0"/>
          </reference>
          <reference field="1" count="1" selected="0">
            <x v="2"/>
          </reference>
          <reference field="7" count="1" selected="0">
            <x v="1"/>
          </reference>
          <reference field="8" count="1" selected="0">
            <x v="8"/>
          </reference>
        </references>
      </pivotArea>
    </chartFormat>
    <chartFormat chart="16" format="41">
      <pivotArea type="data" outline="0" fieldPosition="0">
        <references count="4">
          <reference field="4294967294" count="1" selected="0">
            <x v="0"/>
          </reference>
          <reference field="1" count="1" selected="0">
            <x v="2"/>
          </reference>
          <reference field="7" count="1" selected="0">
            <x v="2"/>
          </reference>
          <reference field="8" count="1" selected="0">
            <x v="7"/>
          </reference>
        </references>
      </pivotArea>
    </chartFormat>
    <chartFormat chart="16" format="42">
      <pivotArea type="data" outline="0" fieldPosition="0">
        <references count="4">
          <reference field="4294967294" count="1" selected="0">
            <x v="0"/>
          </reference>
          <reference field="1" count="1" selected="0">
            <x v="2"/>
          </reference>
          <reference field="7" count="1" selected="0">
            <x v="3"/>
          </reference>
          <reference field="8" count="1" selected="0">
            <x v="4"/>
          </reference>
        </references>
      </pivotArea>
    </chartFormat>
    <chartFormat chart="16" format="43">
      <pivotArea type="data" outline="0" fieldPosition="0">
        <references count="4">
          <reference field="4294967294" count="1" selected="0">
            <x v="0"/>
          </reference>
          <reference field="1" count="1" selected="0">
            <x v="2"/>
          </reference>
          <reference field="7" count="1" selected="0">
            <x v="3"/>
          </reference>
          <reference field="8" count="1" selected="0">
            <x v="7"/>
          </reference>
        </references>
      </pivotArea>
    </chartFormat>
    <chartFormat chart="16" format="44">
      <pivotArea type="data" outline="0" fieldPosition="0">
        <references count="4">
          <reference field="4294967294" count="1" selected="0">
            <x v="0"/>
          </reference>
          <reference field="1" count="1" selected="0">
            <x v="2"/>
          </reference>
          <reference field="7" count="1" selected="0">
            <x v="3"/>
          </reference>
          <reference field="8" count="1" selected="0">
            <x v="8"/>
          </reference>
        </references>
      </pivotArea>
    </chartFormat>
    <chartFormat chart="16" format="45">
      <pivotArea type="data" outline="0" fieldPosition="0">
        <references count="4">
          <reference field="4294967294" count="1" selected="0">
            <x v="0"/>
          </reference>
          <reference field="1" count="1" selected="0">
            <x v="2"/>
          </reference>
          <reference field="7" count="1" selected="0">
            <x v="3"/>
          </reference>
          <reference field="8" count="1" selected="0">
            <x v="10"/>
          </reference>
        </references>
      </pivotArea>
    </chartFormat>
    <chartFormat chart="16" format="46">
      <pivotArea type="data" outline="0" fieldPosition="0">
        <references count="4">
          <reference field="4294967294" count="1" selected="0">
            <x v="0"/>
          </reference>
          <reference field="1" count="1" selected="0">
            <x v="3"/>
          </reference>
          <reference field="7" count="1" selected="0">
            <x v="2"/>
          </reference>
          <reference field="8" count="1" selected="0">
            <x v="6"/>
          </reference>
        </references>
      </pivotArea>
    </chartFormat>
    <chartFormat chart="16" format="47">
      <pivotArea type="data" outline="0" fieldPosition="0">
        <references count="4">
          <reference field="4294967294" count="1" selected="0">
            <x v="0"/>
          </reference>
          <reference field="1" count="1" selected="0">
            <x v="3"/>
          </reference>
          <reference field="7" count="1" selected="0">
            <x v="3"/>
          </reference>
          <reference field="8" count="1" selected="0">
            <x v="2"/>
          </reference>
        </references>
      </pivotArea>
    </chartFormat>
    <chartFormat chart="16" format="48">
      <pivotArea type="data" outline="0" fieldPosition="0">
        <references count="4">
          <reference field="4294967294" count="1" selected="0">
            <x v="0"/>
          </reference>
          <reference field="1" count="1" selected="0">
            <x v="3"/>
          </reference>
          <reference field="7" count="1" selected="0">
            <x v="3"/>
          </reference>
          <reference field="8" count="1" selected="0">
            <x v="3"/>
          </reference>
        </references>
      </pivotArea>
    </chartFormat>
    <chartFormat chart="16" format="49">
      <pivotArea type="data" outline="0" fieldPosition="0">
        <references count="4">
          <reference field="4294967294" count="1" selected="0">
            <x v="0"/>
          </reference>
          <reference field="1" count="1" selected="0">
            <x v="3"/>
          </reference>
          <reference field="7" count="1" selected="0">
            <x v="3"/>
          </reference>
          <reference field="8" count="1" selected="0">
            <x v="6"/>
          </reference>
        </references>
      </pivotArea>
    </chartFormat>
    <chartFormat chart="16" format="50">
      <pivotArea type="data" outline="0" fieldPosition="0">
        <references count="4">
          <reference field="4294967294" count="1" selected="0">
            <x v="0"/>
          </reference>
          <reference field="1" count="1" selected="0">
            <x v="4"/>
          </reference>
          <reference field="7" count="1" selected="0">
            <x v="1"/>
          </reference>
          <reference field="8" count="1" selected="0">
            <x v="5"/>
          </reference>
        </references>
      </pivotArea>
    </chartFormat>
    <chartFormat chart="16" format="51">
      <pivotArea type="data" outline="0" fieldPosition="0">
        <references count="4">
          <reference field="4294967294" count="1" selected="0">
            <x v="0"/>
          </reference>
          <reference field="1" count="1" selected="0">
            <x v="4"/>
          </reference>
          <reference field="7" count="1" selected="0">
            <x v="2"/>
          </reference>
          <reference field="8" count="1" selected="0">
            <x v="5"/>
          </reference>
        </references>
      </pivotArea>
    </chartFormat>
    <chartFormat chart="16" format="52">
      <pivotArea type="data" outline="0" fieldPosition="0">
        <references count="4">
          <reference field="4294967294" count="1" selected="0">
            <x v="0"/>
          </reference>
          <reference field="1" count="1" selected="0">
            <x v="4"/>
          </reference>
          <reference field="7" count="1" selected="0">
            <x v="3"/>
          </reference>
          <reference field="8" count="1" selected="0">
            <x v="3"/>
          </reference>
        </references>
      </pivotArea>
    </chartFormat>
    <chartFormat chart="16" format="53">
      <pivotArea type="data" outline="0" fieldPosition="0">
        <references count="4">
          <reference field="4294967294" count="1" selected="0">
            <x v="0"/>
          </reference>
          <reference field="1" count="1" selected="0">
            <x v="4"/>
          </reference>
          <reference field="7" count="1" selected="0">
            <x v="3"/>
          </reference>
          <reference field="8" count="1" selected="0">
            <x v="5"/>
          </reference>
        </references>
      </pivotArea>
    </chartFormat>
    <chartFormat chart="16" format="54">
      <pivotArea type="data" outline="0" fieldPosition="0">
        <references count="4">
          <reference field="4294967294" count="1" selected="0">
            <x v="0"/>
          </reference>
          <reference field="1" count="1" selected="0">
            <x v="4"/>
          </reference>
          <reference field="7" count="1" selected="0">
            <x v="3"/>
          </reference>
          <reference field="8" count="1" selected="0">
            <x v="6"/>
          </reference>
        </references>
      </pivotArea>
    </chartFormat>
    <chartFormat chart="18"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 chart="30" format="0" series="1">
      <pivotArea type="data" outline="0" fieldPosition="0">
        <references count="1">
          <reference field="4294967294" count="1" selected="0">
            <x v="0"/>
          </reference>
        </references>
      </pivotArea>
    </chartFormat>
    <chartFormat chart="32" format="28" series="1">
      <pivotArea type="data" outline="0" fieldPosition="0">
        <references count="1">
          <reference field="4294967294" count="1" selected="0">
            <x v="0"/>
          </reference>
        </references>
      </pivotArea>
    </chartFormat>
    <chartFormat chart="32" format="29">
      <pivotArea type="data" outline="0" fieldPosition="0">
        <references count="4">
          <reference field="4294967294" count="1" selected="0">
            <x v="0"/>
          </reference>
          <reference field="1" count="1" selected="0">
            <x v="0"/>
          </reference>
          <reference field="7" count="1" selected="0">
            <x v="0"/>
          </reference>
          <reference field="8" count="1" selected="0">
            <x v="1"/>
          </reference>
        </references>
      </pivotArea>
    </chartFormat>
    <chartFormat chart="32" format="30">
      <pivotArea type="data" outline="0" fieldPosition="0">
        <references count="4">
          <reference field="4294967294" count="1" selected="0">
            <x v="0"/>
          </reference>
          <reference field="1" count="1" selected="0">
            <x v="0"/>
          </reference>
          <reference field="7" count="1" selected="0">
            <x v="1"/>
          </reference>
          <reference field="8" count="1" selected="0">
            <x v="0"/>
          </reference>
        </references>
      </pivotArea>
    </chartFormat>
    <chartFormat chart="32" format="31">
      <pivotArea type="data" outline="0" fieldPosition="0">
        <references count="4">
          <reference field="4294967294" count="1" selected="0">
            <x v="0"/>
          </reference>
          <reference field="1" count="1" selected="0">
            <x v="0"/>
          </reference>
          <reference field="7" count="1" selected="0">
            <x v="1"/>
          </reference>
          <reference field="8" count="1" selected="0">
            <x v="1"/>
          </reference>
        </references>
      </pivotArea>
    </chartFormat>
    <chartFormat chart="32" format="32">
      <pivotArea type="data" outline="0" fieldPosition="0">
        <references count="4">
          <reference field="4294967294" count="1" selected="0">
            <x v="0"/>
          </reference>
          <reference field="1" count="1" selected="0">
            <x v="0"/>
          </reference>
          <reference field="7" count="1" selected="0">
            <x v="3"/>
          </reference>
          <reference field="8" count="1" selected="0">
            <x v="0"/>
          </reference>
        </references>
      </pivotArea>
    </chartFormat>
    <chartFormat chart="32" format="33">
      <pivotArea type="data" outline="0" fieldPosition="0">
        <references count="4">
          <reference field="4294967294" count="1" selected="0">
            <x v="0"/>
          </reference>
          <reference field="1" count="1" selected="0">
            <x v="0"/>
          </reference>
          <reference field="7" count="1" selected="0">
            <x v="3"/>
          </reference>
          <reference field="8" count="1" selected="0">
            <x v="1"/>
          </reference>
        </references>
      </pivotArea>
    </chartFormat>
    <chartFormat chart="32" format="34">
      <pivotArea type="data" outline="0" fieldPosition="0">
        <references count="4">
          <reference field="4294967294" count="1" selected="0">
            <x v="0"/>
          </reference>
          <reference field="1" count="1" selected="0">
            <x v="1"/>
          </reference>
          <reference field="7" count="1" selected="0">
            <x v="1"/>
          </reference>
          <reference field="8" count="1" selected="0">
            <x v="4"/>
          </reference>
        </references>
      </pivotArea>
    </chartFormat>
    <chartFormat chart="32" format="35">
      <pivotArea type="data" outline="0" fieldPosition="0">
        <references count="4">
          <reference field="4294967294" count="1" selected="0">
            <x v="0"/>
          </reference>
          <reference field="1" count="1" selected="0">
            <x v="1"/>
          </reference>
          <reference field="7" count="1" selected="0">
            <x v="1"/>
          </reference>
          <reference field="8" count="1" selected="0">
            <x v="10"/>
          </reference>
        </references>
      </pivotArea>
    </chartFormat>
    <chartFormat chart="32" format="36">
      <pivotArea type="data" outline="0" fieldPosition="0">
        <references count="4">
          <reference field="4294967294" count="1" selected="0">
            <x v="0"/>
          </reference>
          <reference field="1" count="1" selected="0">
            <x v="1"/>
          </reference>
          <reference field="7" count="1" selected="0">
            <x v="2"/>
          </reference>
          <reference field="8" count="1" selected="0">
            <x v="4"/>
          </reference>
        </references>
      </pivotArea>
    </chartFormat>
    <chartFormat chart="32" format="37">
      <pivotArea type="data" outline="0" fieldPosition="0">
        <references count="4">
          <reference field="4294967294" count="1" selected="0">
            <x v="0"/>
          </reference>
          <reference field="1" count="1" selected="0">
            <x v="1"/>
          </reference>
          <reference field="7" count="1" selected="0">
            <x v="3"/>
          </reference>
          <reference field="8" count="1" selected="0">
            <x v="4"/>
          </reference>
        </references>
      </pivotArea>
    </chartFormat>
    <chartFormat chart="32" format="38">
      <pivotArea type="data" outline="0" fieldPosition="0">
        <references count="4">
          <reference field="4294967294" count="1" selected="0">
            <x v="0"/>
          </reference>
          <reference field="1" count="1" selected="0">
            <x v="1"/>
          </reference>
          <reference field="7" count="1" selected="0">
            <x v="3"/>
          </reference>
          <reference field="8" count="1" selected="0">
            <x v="7"/>
          </reference>
        </references>
      </pivotArea>
    </chartFormat>
    <chartFormat chart="32" format="39">
      <pivotArea type="data" outline="0" fieldPosition="0">
        <references count="4">
          <reference field="4294967294" count="1" selected="0">
            <x v="0"/>
          </reference>
          <reference field="1" count="1" selected="0">
            <x v="1"/>
          </reference>
          <reference field="7" count="1" selected="0">
            <x v="3"/>
          </reference>
          <reference field="8" count="1" selected="0">
            <x v="10"/>
          </reference>
        </references>
      </pivotArea>
    </chartFormat>
    <chartFormat chart="32" format="40">
      <pivotArea type="data" outline="0" fieldPosition="0">
        <references count="4">
          <reference field="4294967294" count="1" selected="0">
            <x v="0"/>
          </reference>
          <reference field="1" count="1" selected="0">
            <x v="2"/>
          </reference>
          <reference field="7" count="1" selected="0">
            <x v="1"/>
          </reference>
          <reference field="8" count="1" selected="0">
            <x v="8"/>
          </reference>
        </references>
      </pivotArea>
    </chartFormat>
    <chartFormat chart="32" format="41">
      <pivotArea type="data" outline="0" fieldPosition="0">
        <references count="4">
          <reference field="4294967294" count="1" selected="0">
            <x v="0"/>
          </reference>
          <reference field="1" count="1" selected="0">
            <x v="2"/>
          </reference>
          <reference field="7" count="1" selected="0">
            <x v="2"/>
          </reference>
          <reference field="8" count="1" selected="0">
            <x v="7"/>
          </reference>
        </references>
      </pivotArea>
    </chartFormat>
    <chartFormat chart="32" format="42">
      <pivotArea type="data" outline="0" fieldPosition="0">
        <references count="4">
          <reference field="4294967294" count="1" selected="0">
            <x v="0"/>
          </reference>
          <reference field="1" count="1" selected="0">
            <x v="2"/>
          </reference>
          <reference field="7" count="1" selected="0">
            <x v="3"/>
          </reference>
          <reference field="8" count="1" selected="0">
            <x v="4"/>
          </reference>
        </references>
      </pivotArea>
    </chartFormat>
    <chartFormat chart="32" format="43">
      <pivotArea type="data" outline="0" fieldPosition="0">
        <references count="4">
          <reference field="4294967294" count="1" selected="0">
            <x v="0"/>
          </reference>
          <reference field="1" count="1" selected="0">
            <x v="2"/>
          </reference>
          <reference field="7" count="1" selected="0">
            <x v="3"/>
          </reference>
          <reference field="8" count="1" selected="0">
            <x v="7"/>
          </reference>
        </references>
      </pivotArea>
    </chartFormat>
    <chartFormat chart="32" format="44">
      <pivotArea type="data" outline="0" fieldPosition="0">
        <references count="4">
          <reference field="4294967294" count="1" selected="0">
            <x v="0"/>
          </reference>
          <reference field="1" count="1" selected="0">
            <x v="2"/>
          </reference>
          <reference field="7" count="1" selected="0">
            <x v="3"/>
          </reference>
          <reference field="8" count="1" selected="0">
            <x v="8"/>
          </reference>
        </references>
      </pivotArea>
    </chartFormat>
    <chartFormat chart="32" format="45">
      <pivotArea type="data" outline="0" fieldPosition="0">
        <references count="4">
          <reference field="4294967294" count="1" selected="0">
            <x v="0"/>
          </reference>
          <reference field="1" count="1" selected="0">
            <x v="2"/>
          </reference>
          <reference field="7" count="1" selected="0">
            <x v="3"/>
          </reference>
          <reference field="8" count="1" selected="0">
            <x v="10"/>
          </reference>
        </references>
      </pivotArea>
    </chartFormat>
    <chartFormat chart="32" format="46">
      <pivotArea type="data" outline="0" fieldPosition="0">
        <references count="4">
          <reference field="4294967294" count="1" selected="0">
            <x v="0"/>
          </reference>
          <reference field="1" count="1" selected="0">
            <x v="3"/>
          </reference>
          <reference field="7" count="1" selected="0">
            <x v="2"/>
          </reference>
          <reference field="8" count="1" selected="0">
            <x v="6"/>
          </reference>
        </references>
      </pivotArea>
    </chartFormat>
    <chartFormat chart="32" format="47">
      <pivotArea type="data" outline="0" fieldPosition="0">
        <references count="4">
          <reference field="4294967294" count="1" selected="0">
            <x v="0"/>
          </reference>
          <reference field="1" count="1" selected="0">
            <x v="3"/>
          </reference>
          <reference field="7" count="1" selected="0">
            <x v="3"/>
          </reference>
          <reference field="8" count="1" selected="0">
            <x v="2"/>
          </reference>
        </references>
      </pivotArea>
    </chartFormat>
    <chartFormat chart="32" format="48">
      <pivotArea type="data" outline="0" fieldPosition="0">
        <references count="4">
          <reference field="4294967294" count="1" selected="0">
            <x v="0"/>
          </reference>
          <reference field="1" count="1" selected="0">
            <x v="3"/>
          </reference>
          <reference field="7" count="1" selected="0">
            <x v="3"/>
          </reference>
          <reference field="8" count="1" selected="0">
            <x v="3"/>
          </reference>
        </references>
      </pivotArea>
    </chartFormat>
    <chartFormat chart="32" format="49">
      <pivotArea type="data" outline="0" fieldPosition="0">
        <references count="4">
          <reference field="4294967294" count="1" selected="0">
            <x v="0"/>
          </reference>
          <reference field="1" count="1" selected="0">
            <x v="3"/>
          </reference>
          <reference field="7" count="1" selected="0">
            <x v="3"/>
          </reference>
          <reference field="8" count="1" selected="0">
            <x v="6"/>
          </reference>
        </references>
      </pivotArea>
    </chartFormat>
    <chartFormat chart="32" format="50">
      <pivotArea type="data" outline="0" fieldPosition="0">
        <references count="4">
          <reference field="4294967294" count="1" selected="0">
            <x v="0"/>
          </reference>
          <reference field="1" count="1" selected="0">
            <x v="4"/>
          </reference>
          <reference field="7" count="1" selected="0">
            <x v="1"/>
          </reference>
          <reference field="8" count="1" selected="0">
            <x v="5"/>
          </reference>
        </references>
      </pivotArea>
    </chartFormat>
    <chartFormat chart="32" format="51">
      <pivotArea type="data" outline="0" fieldPosition="0">
        <references count="4">
          <reference field="4294967294" count="1" selected="0">
            <x v="0"/>
          </reference>
          <reference field="1" count="1" selected="0">
            <x v="4"/>
          </reference>
          <reference field="7" count="1" selected="0">
            <x v="2"/>
          </reference>
          <reference field="8" count="1" selected="0">
            <x v="5"/>
          </reference>
        </references>
      </pivotArea>
    </chartFormat>
    <chartFormat chart="32" format="52">
      <pivotArea type="data" outline="0" fieldPosition="0">
        <references count="4">
          <reference field="4294967294" count="1" selected="0">
            <x v="0"/>
          </reference>
          <reference field="1" count="1" selected="0">
            <x v="4"/>
          </reference>
          <reference field="7" count="1" selected="0">
            <x v="3"/>
          </reference>
          <reference field="8" count="1" selected="0">
            <x v="3"/>
          </reference>
        </references>
      </pivotArea>
    </chartFormat>
    <chartFormat chart="32" format="53">
      <pivotArea type="data" outline="0" fieldPosition="0">
        <references count="4">
          <reference field="4294967294" count="1" selected="0">
            <x v="0"/>
          </reference>
          <reference field="1" count="1" selected="0">
            <x v="4"/>
          </reference>
          <reference field="7" count="1" selected="0">
            <x v="3"/>
          </reference>
          <reference field="8" count="1" selected="0">
            <x v="5"/>
          </reference>
        </references>
      </pivotArea>
    </chartFormat>
    <chartFormat chart="32" format="54">
      <pivotArea type="data" outline="0" fieldPosition="0">
        <references count="4">
          <reference field="4294967294" count="1" selected="0">
            <x v="0"/>
          </reference>
          <reference field="1" count="1" selected="0">
            <x v="4"/>
          </reference>
          <reference field="7" count="1" selected="0">
            <x v="3"/>
          </reference>
          <reference field="8" count="1" selected="0">
            <x v="6"/>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4B94405-B1D2-4780-876A-CBD4631B95A2}" name="Risk Identification Trend" cacheId="36" applyNumberFormats="0" applyBorderFormats="0" applyFontFormats="0" applyPatternFormats="0" applyAlignmentFormats="0" applyWidthHeightFormats="1" dataCaption="Values" updatedVersion="8" minRefreshableVersion="3" itemPrintTitles="1" createdVersion="8" indent="0" compact="0" compactData="0" multipleFieldFilters="0" chartFormat="35">
  <location ref="S3:V27" firstHeaderRow="1" firstDataRow="1" firstDataCol="3"/>
  <pivotFields count="12">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6">
        <item x="1"/>
        <item x="0"/>
        <item x="3"/>
        <item x="4"/>
        <item x="2"/>
        <item m="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3"/>
        <item x="1"/>
        <item x="2"/>
        <item x="0"/>
        <item m="1" x="4"/>
      </items>
      <extLst>
        <ext xmlns:x14="http://schemas.microsoft.com/office/spreadsheetml/2009/9/main" uri="{2946ED86-A175-432a-8AC1-64E0C546D7DE}">
          <x14:pivotField fillDownLabels="1"/>
        </ext>
      </extLst>
    </pivotField>
    <pivotField axis="axisRow" compact="0" outline="0" showAll="0" defaultSubtotal="0">
      <items count="12">
        <item x="1"/>
        <item x="5"/>
        <item x="8"/>
        <item x="2"/>
        <item x="0"/>
        <item x="6"/>
        <item x="4"/>
        <item x="3"/>
        <item x="7"/>
        <item m="1" x="11"/>
        <item m="1" x="10"/>
        <item m="1"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7"/>
    <field x="8"/>
  </rowFields>
  <rowItems count="24">
    <i>
      <x/>
      <x/>
      <x v="1"/>
    </i>
    <i r="1">
      <x v="1"/>
      <x/>
    </i>
    <i r="2">
      <x v="1"/>
    </i>
    <i r="1">
      <x v="3"/>
      <x/>
    </i>
    <i r="2">
      <x v="1"/>
    </i>
    <i>
      <x v="1"/>
      <x v="1"/>
      <x v="4"/>
    </i>
    <i r="1">
      <x v="2"/>
      <x v="4"/>
    </i>
    <i r="1">
      <x v="3"/>
      <x v="4"/>
    </i>
    <i r="2">
      <x v="7"/>
    </i>
    <i>
      <x v="2"/>
      <x v="1"/>
      <x v="8"/>
    </i>
    <i r="1">
      <x v="2"/>
      <x v="7"/>
    </i>
    <i r="1">
      <x v="3"/>
      <x v="4"/>
    </i>
    <i r="2">
      <x v="7"/>
    </i>
    <i r="2">
      <x v="8"/>
    </i>
    <i>
      <x v="3"/>
      <x v="2"/>
      <x v="6"/>
    </i>
    <i r="1">
      <x v="3"/>
      <x v="2"/>
    </i>
    <i r="2">
      <x v="3"/>
    </i>
    <i r="2">
      <x v="6"/>
    </i>
    <i>
      <x v="4"/>
      <x v="1"/>
      <x v="5"/>
    </i>
    <i r="1">
      <x v="2"/>
      <x v="5"/>
    </i>
    <i r="1">
      <x v="3"/>
      <x v="3"/>
    </i>
    <i r="2">
      <x v="5"/>
    </i>
    <i r="2">
      <x v="6"/>
    </i>
    <i t="grand">
      <x/>
    </i>
  </rowItems>
  <colItems count="1">
    <i/>
  </colItems>
  <dataFields count="1">
    <dataField name="Total Risk Score" fld="5" baseField="1" baseItem="0"/>
  </dataFields>
  <formats count="5">
    <format dxfId="34">
      <pivotArea outline="0" collapsedLevelsAreSubtotals="1" fieldPosition="0"/>
    </format>
    <format dxfId="33">
      <pivotArea dataOnly="0" labelOnly="1" outline="0" axis="axisValues" fieldPosition="0"/>
    </format>
    <format dxfId="32">
      <pivotArea field="1" type="button" dataOnly="0" labelOnly="1" outline="0" axis="axisRow" fieldPosition="0"/>
    </format>
    <format dxfId="31">
      <pivotArea field="7" type="button" dataOnly="0" labelOnly="1" outline="0" axis="axisRow" fieldPosition="1"/>
    </format>
    <format dxfId="30">
      <pivotArea field="8" type="button" dataOnly="0" labelOnly="1" outline="0" axis="axisRow" fieldPosition="2"/>
    </format>
  </formats>
  <conditionalFormats count="2">
    <conditionalFormat priority="1">
      <pivotAreas count="1">
        <pivotArea type="data" outline="0" collapsedLevelsAreSubtotals="1" fieldPosition="0">
          <references count="4">
            <reference field="4294967294" count="1" selected="0">
              <x v="0"/>
            </reference>
            <reference field="1" count="5" selected="0">
              <x v="0"/>
              <x v="1"/>
              <x v="2"/>
              <x v="3"/>
              <x v="4"/>
            </reference>
            <reference field="7" count="4" selected="0">
              <x v="0"/>
              <x v="1"/>
              <x v="2"/>
              <x v="3"/>
            </reference>
            <reference field="8" count="9" selected="0">
              <x v="0"/>
              <x v="1"/>
              <x v="2"/>
              <x v="3"/>
              <x v="4"/>
              <x v="5"/>
              <x v="6"/>
              <x v="7"/>
              <x v="8"/>
            </reference>
          </references>
        </pivotArea>
      </pivotAreas>
    </conditionalFormat>
    <conditionalFormat priority="2">
      <pivotAreas count="1">
        <pivotArea type="data" outline="0" collapsedLevelsAreSubtotals="1" fieldPosition="0">
          <references count="4">
            <reference field="4294967294" count="1" selected="0">
              <x v="0"/>
            </reference>
            <reference field="1" count="5" selected="0">
              <x v="0"/>
              <x v="1"/>
              <x v="2"/>
              <x v="3"/>
              <x v="4"/>
            </reference>
            <reference field="7" count="4" selected="0">
              <x v="0"/>
              <x v="1"/>
              <x v="2"/>
              <x v="3"/>
            </reference>
            <reference field="8" count="9" selected="0">
              <x v="0"/>
              <x v="1"/>
              <x v="2"/>
              <x v="3"/>
              <x v="4"/>
              <x v="5"/>
              <x v="6"/>
              <x v="7"/>
              <x v="8"/>
            </reference>
          </references>
        </pivotArea>
      </pivotAreas>
    </conditionalFormat>
  </conditionalFormats>
  <chartFormats count="36">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6" format="28" series="1">
      <pivotArea type="data" outline="0" fieldPosition="0">
        <references count="1">
          <reference field="4294967294" count="1" selected="0">
            <x v="0"/>
          </reference>
        </references>
      </pivotArea>
    </chartFormat>
    <chartFormat chart="16" format="29">
      <pivotArea type="data" outline="0" fieldPosition="0">
        <references count="4">
          <reference field="4294967294" count="1" selected="0">
            <x v="0"/>
          </reference>
          <reference field="1" count="1" selected="0">
            <x v="0"/>
          </reference>
          <reference field="7" count="1" selected="0">
            <x v="0"/>
          </reference>
          <reference field="8" count="1" selected="0">
            <x v="1"/>
          </reference>
        </references>
      </pivotArea>
    </chartFormat>
    <chartFormat chart="16" format="30">
      <pivotArea type="data" outline="0" fieldPosition="0">
        <references count="4">
          <reference field="4294967294" count="1" selected="0">
            <x v="0"/>
          </reference>
          <reference field="1" count="1" selected="0">
            <x v="0"/>
          </reference>
          <reference field="7" count="1" selected="0">
            <x v="1"/>
          </reference>
          <reference field="8" count="1" selected="0">
            <x v="0"/>
          </reference>
        </references>
      </pivotArea>
    </chartFormat>
    <chartFormat chart="16" format="31">
      <pivotArea type="data" outline="0" fieldPosition="0">
        <references count="4">
          <reference field="4294967294" count="1" selected="0">
            <x v="0"/>
          </reference>
          <reference field="1" count="1" selected="0">
            <x v="0"/>
          </reference>
          <reference field="7" count="1" selected="0">
            <x v="1"/>
          </reference>
          <reference field="8" count="1" selected="0">
            <x v="1"/>
          </reference>
        </references>
      </pivotArea>
    </chartFormat>
    <chartFormat chart="16" format="32">
      <pivotArea type="data" outline="0" fieldPosition="0">
        <references count="4">
          <reference field="4294967294" count="1" selected="0">
            <x v="0"/>
          </reference>
          <reference field="1" count="1" selected="0">
            <x v="0"/>
          </reference>
          <reference field="7" count="1" selected="0">
            <x v="3"/>
          </reference>
          <reference field="8" count="1" selected="0">
            <x v="0"/>
          </reference>
        </references>
      </pivotArea>
    </chartFormat>
    <chartFormat chart="16" format="33">
      <pivotArea type="data" outline="0" fieldPosition="0">
        <references count="4">
          <reference field="4294967294" count="1" selected="0">
            <x v="0"/>
          </reference>
          <reference field="1" count="1" selected="0">
            <x v="0"/>
          </reference>
          <reference field="7" count="1" selected="0">
            <x v="3"/>
          </reference>
          <reference field="8" count="1" selected="0">
            <x v="1"/>
          </reference>
        </references>
      </pivotArea>
    </chartFormat>
    <chartFormat chart="16" format="34">
      <pivotArea type="data" outline="0" fieldPosition="0">
        <references count="4">
          <reference field="4294967294" count="1" selected="0">
            <x v="0"/>
          </reference>
          <reference field="1" count="1" selected="0">
            <x v="1"/>
          </reference>
          <reference field="7" count="1" selected="0">
            <x v="1"/>
          </reference>
          <reference field="8" count="1" selected="0">
            <x v="4"/>
          </reference>
        </references>
      </pivotArea>
    </chartFormat>
    <chartFormat chart="16" format="35">
      <pivotArea type="data" outline="0" fieldPosition="0">
        <references count="4">
          <reference field="4294967294" count="1" selected="0">
            <x v="0"/>
          </reference>
          <reference field="1" count="1" selected="0">
            <x v="1"/>
          </reference>
          <reference field="7" count="1" selected="0">
            <x v="1"/>
          </reference>
          <reference field="8" count="1" selected="0">
            <x v="10"/>
          </reference>
        </references>
      </pivotArea>
    </chartFormat>
    <chartFormat chart="16" format="36">
      <pivotArea type="data" outline="0" fieldPosition="0">
        <references count="4">
          <reference field="4294967294" count="1" selected="0">
            <x v="0"/>
          </reference>
          <reference field="1" count="1" selected="0">
            <x v="1"/>
          </reference>
          <reference field="7" count="1" selected="0">
            <x v="2"/>
          </reference>
          <reference field="8" count="1" selected="0">
            <x v="4"/>
          </reference>
        </references>
      </pivotArea>
    </chartFormat>
    <chartFormat chart="16" format="37">
      <pivotArea type="data" outline="0" fieldPosition="0">
        <references count="4">
          <reference field="4294967294" count="1" selected="0">
            <x v="0"/>
          </reference>
          <reference field="1" count="1" selected="0">
            <x v="1"/>
          </reference>
          <reference field="7" count="1" selected="0">
            <x v="3"/>
          </reference>
          <reference field="8" count="1" selected="0">
            <x v="4"/>
          </reference>
        </references>
      </pivotArea>
    </chartFormat>
    <chartFormat chart="16" format="38">
      <pivotArea type="data" outline="0" fieldPosition="0">
        <references count="4">
          <reference field="4294967294" count="1" selected="0">
            <x v="0"/>
          </reference>
          <reference field="1" count="1" selected="0">
            <x v="1"/>
          </reference>
          <reference field="7" count="1" selected="0">
            <x v="3"/>
          </reference>
          <reference field="8" count="1" selected="0">
            <x v="7"/>
          </reference>
        </references>
      </pivotArea>
    </chartFormat>
    <chartFormat chart="16" format="39">
      <pivotArea type="data" outline="0" fieldPosition="0">
        <references count="4">
          <reference field="4294967294" count="1" selected="0">
            <x v="0"/>
          </reference>
          <reference field="1" count="1" selected="0">
            <x v="1"/>
          </reference>
          <reference field="7" count="1" selected="0">
            <x v="3"/>
          </reference>
          <reference field="8" count="1" selected="0">
            <x v="10"/>
          </reference>
        </references>
      </pivotArea>
    </chartFormat>
    <chartFormat chart="16" format="40">
      <pivotArea type="data" outline="0" fieldPosition="0">
        <references count="4">
          <reference field="4294967294" count="1" selected="0">
            <x v="0"/>
          </reference>
          <reference field="1" count="1" selected="0">
            <x v="2"/>
          </reference>
          <reference field="7" count="1" selected="0">
            <x v="1"/>
          </reference>
          <reference field="8" count="1" selected="0">
            <x v="8"/>
          </reference>
        </references>
      </pivotArea>
    </chartFormat>
    <chartFormat chart="16" format="41">
      <pivotArea type="data" outline="0" fieldPosition="0">
        <references count="4">
          <reference field="4294967294" count="1" selected="0">
            <x v="0"/>
          </reference>
          <reference field="1" count="1" selected="0">
            <x v="2"/>
          </reference>
          <reference field="7" count="1" selected="0">
            <x v="2"/>
          </reference>
          <reference field="8" count="1" selected="0">
            <x v="7"/>
          </reference>
        </references>
      </pivotArea>
    </chartFormat>
    <chartFormat chart="16" format="42">
      <pivotArea type="data" outline="0" fieldPosition="0">
        <references count="4">
          <reference field="4294967294" count="1" selected="0">
            <x v="0"/>
          </reference>
          <reference field="1" count="1" selected="0">
            <x v="2"/>
          </reference>
          <reference field="7" count="1" selected="0">
            <x v="3"/>
          </reference>
          <reference field="8" count="1" selected="0">
            <x v="4"/>
          </reference>
        </references>
      </pivotArea>
    </chartFormat>
    <chartFormat chart="16" format="43">
      <pivotArea type="data" outline="0" fieldPosition="0">
        <references count="4">
          <reference field="4294967294" count="1" selected="0">
            <x v="0"/>
          </reference>
          <reference field="1" count="1" selected="0">
            <x v="2"/>
          </reference>
          <reference field="7" count="1" selected="0">
            <x v="3"/>
          </reference>
          <reference field="8" count="1" selected="0">
            <x v="7"/>
          </reference>
        </references>
      </pivotArea>
    </chartFormat>
    <chartFormat chart="16" format="44">
      <pivotArea type="data" outline="0" fieldPosition="0">
        <references count="4">
          <reference field="4294967294" count="1" selected="0">
            <x v="0"/>
          </reference>
          <reference field="1" count="1" selected="0">
            <x v="2"/>
          </reference>
          <reference field="7" count="1" selected="0">
            <x v="3"/>
          </reference>
          <reference field="8" count="1" selected="0">
            <x v="8"/>
          </reference>
        </references>
      </pivotArea>
    </chartFormat>
    <chartFormat chart="16" format="45">
      <pivotArea type="data" outline="0" fieldPosition="0">
        <references count="4">
          <reference field="4294967294" count="1" selected="0">
            <x v="0"/>
          </reference>
          <reference field="1" count="1" selected="0">
            <x v="2"/>
          </reference>
          <reference field="7" count="1" selected="0">
            <x v="3"/>
          </reference>
          <reference field="8" count="1" selected="0">
            <x v="10"/>
          </reference>
        </references>
      </pivotArea>
    </chartFormat>
    <chartFormat chart="16" format="46">
      <pivotArea type="data" outline="0" fieldPosition="0">
        <references count="4">
          <reference field="4294967294" count="1" selected="0">
            <x v="0"/>
          </reference>
          <reference field="1" count="1" selected="0">
            <x v="3"/>
          </reference>
          <reference field="7" count="1" selected="0">
            <x v="2"/>
          </reference>
          <reference field="8" count="1" selected="0">
            <x v="6"/>
          </reference>
        </references>
      </pivotArea>
    </chartFormat>
    <chartFormat chart="16" format="47">
      <pivotArea type="data" outline="0" fieldPosition="0">
        <references count="4">
          <reference field="4294967294" count="1" selected="0">
            <x v="0"/>
          </reference>
          <reference field="1" count="1" selected="0">
            <x v="3"/>
          </reference>
          <reference field="7" count="1" selected="0">
            <x v="3"/>
          </reference>
          <reference field="8" count="1" selected="0">
            <x v="2"/>
          </reference>
        </references>
      </pivotArea>
    </chartFormat>
    <chartFormat chart="16" format="48">
      <pivotArea type="data" outline="0" fieldPosition="0">
        <references count="4">
          <reference field="4294967294" count="1" selected="0">
            <x v="0"/>
          </reference>
          <reference field="1" count="1" selected="0">
            <x v="3"/>
          </reference>
          <reference field="7" count="1" selected="0">
            <x v="3"/>
          </reference>
          <reference field="8" count="1" selected="0">
            <x v="3"/>
          </reference>
        </references>
      </pivotArea>
    </chartFormat>
    <chartFormat chart="16" format="49">
      <pivotArea type="data" outline="0" fieldPosition="0">
        <references count="4">
          <reference field="4294967294" count="1" selected="0">
            <x v="0"/>
          </reference>
          <reference field="1" count="1" selected="0">
            <x v="3"/>
          </reference>
          <reference field="7" count="1" selected="0">
            <x v="3"/>
          </reference>
          <reference field="8" count="1" selected="0">
            <x v="6"/>
          </reference>
        </references>
      </pivotArea>
    </chartFormat>
    <chartFormat chart="16" format="50">
      <pivotArea type="data" outline="0" fieldPosition="0">
        <references count="4">
          <reference field="4294967294" count="1" selected="0">
            <x v="0"/>
          </reference>
          <reference field="1" count="1" selected="0">
            <x v="4"/>
          </reference>
          <reference field="7" count="1" selected="0">
            <x v="1"/>
          </reference>
          <reference field="8" count="1" selected="0">
            <x v="5"/>
          </reference>
        </references>
      </pivotArea>
    </chartFormat>
    <chartFormat chart="16" format="51">
      <pivotArea type="data" outline="0" fieldPosition="0">
        <references count="4">
          <reference field="4294967294" count="1" selected="0">
            <x v="0"/>
          </reference>
          <reference field="1" count="1" selected="0">
            <x v="4"/>
          </reference>
          <reference field="7" count="1" selected="0">
            <x v="2"/>
          </reference>
          <reference field="8" count="1" selected="0">
            <x v="5"/>
          </reference>
        </references>
      </pivotArea>
    </chartFormat>
    <chartFormat chart="16" format="52">
      <pivotArea type="data" outline="0" fieldPosition="0">
        <references count="4">
          <reference field="4294967294" count="1" selected="0">
            <x v="0"/>
          </reference>
          <reference field="1" count="1" selected="0">
            <x v="4"/>
          </reference>
          <reference field="7" count="1" selected="0">
            <x v="3"/>
          </reference>
          <reference field="8" count="1" selected="0">
            <x v="3"/>
          </reference>
        </references>
      </pivotArea>
    </chartFormat>
    <chartFormat chart="16" format="53">
      <pivotArea type="data" outline="0" fieldPosition="0">
        <references count="4">
          <reference field="4294967294" count="1" selected="0">
            <x v="0"/>
          </reference>
          <reference field="1" count="1" selected="0">
            <x v="4"/>
          </reference>
          <reference field="7" count="1" selected="0">
            <x v="3"/>
          </reference>
          <reference field="8" count="1" selected="0">
            <x v="5"/>
          </reference>
        </references>
      </pivotArea>
    </chartFormat>
    <chartFormat chart="16" format="54">
      <pivotArea type="data" outline="0" fieldPosition="0">
        <references count="4">
          <reference field="4294967294" count="1" selected="0">
            <x v="0"/>
          </reference>
          <reference field="1" count="1" selected="0">
            <x v="4"/>
          </reference>
          <reference field="7" count="1" selected="0">
            <x v="3"/>
          </reference>
          <reference field="8" count="1" selected="0">
            <x v="6"/>
          </reference>
        </references>
      </pivotArea>
    </chartFormat>
    <chartFormat chart="18"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 chart="30" format="0" series="1">
      <pivotArea type="data" outline="0" fieldPosition="0">
        <references count="1">
          <reference field="4294967294" count="1" selected="0">
            <x v="0"/>
          </reference>
        </references>
      </pivotArea>
    </chartFormat>
    <chartFormat chart="3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BABC7B5-9EFE-4D0C-878A-6CDB5F589795}" name="Risk Distribution by Category" cacheId="36" applyNumberFormats="0" applyBorderFormats="0" applyFontFormats="0" applyPatternFormats="0" applyAlignmentFormats="0" applyWidthHeightFormats="1" dataCaption="Values" updatedVersion="8" minRefreshableVersion="3" itemPrintTitles="1" createdVersion="8" indent="0" compact="0" compactData="0" multipleFieldFilters="0" chartFormat="56">
  <location ref="A3:D27" firstHeaderRow="1" firstDataRow="1" firstDataCol="3"/>
  <pivotFields count="12">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6">
        <item x="1"/>
        <item x="0"/>
        <item x="3"/>
        <item x="4"/>
        <item x="2"/>
        <item m="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3"/>
        <item x="1"/>
        <item x="2"/>
        <item x="0"/>
        <item m="1" x="4"/>
      </items>
      <extLst>
        <ext xmlns:x14="http://schemas.microsoft.com/office/spreadsheetml/2009/9/main" uri="{2946ED86-A175-432a-8AC1-64E0C546D7DE}">
          <x14:pivotField fillDownLabels="1"/>
        </ext>
      </extLst>
    </pivotField>
    <pivotField axis="axisRow" compact="0" outline="0" showAll="0" defaultSubtotal="0">
      <items count="12">
        <item x="1"/>
        <item x="5"/>
        <item x="8"/>
        <item x="2"/>
        <item x="0"/>
        <item x="6"/>
        <item x="4"/>
        <item x="3"/>
        <item x="7"/>
        <item m="1" x="11"/>
        <item m="1" x="10"/>
        <item m="1"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7"/>
    <field x="8"/>
  </rowFields>
  <rowItems count="24">
    <i>
      <x/>
      <x/>
      <x v="1"/>
    </i>
    <i r="1">
      <x v="1"/>
      <x/>
    </i>
    <i r="2">
      <x v="1"/>
    </i>
    <i r="1">
      <x v="3"/>
      <x/>
    </i>
    <i r="2">
      <x v="1"/>
    </i>
    <i>
      <x v="1"/>
      <x v="1"/>
      <x v="4"/>
    </i>
    <i r="1">
      <x v="2"/>
      <x v="4"/>
    </i>
    <i r="1">
      <x v="3"/>
      <x v="4"/>
    </i>
    <i r="2">
      <x v="7"/>
    </i>
    <i>
      <x v="2"/>
      <x v="1"/>
      <x v="8"/>
    </i>
    <i r="1">
      <x v="2"/>
      <x v="7"/>
    </i>
    <i r="1">
      <x v="3"/>
      <x v="4"/>
    </i>
    <i r="2">
      <x v="7"/>
    </i>
    <i r="2">
      <x v="8"/>
    </i>
    <i>
      <x v="3"/>
      <x v="2"/>
      <x v="6"/>
    </i>
    <i r="1">
      <x v="3"/>
      <x v="2"/>
    </i>
    <i r="2">
      <x v="3"/>
    </i>
    <i r="2">
      <x v="6"/>
    </i>
    <i>
      <x v="4"/>
      <x v="1"/>
      <x v="5"/>
    </i>
    <i r="1">
      <x v="2"/>
      <x v="5"/>
    </i>
    <i r="1">
      <x v="3"/>
      <x v="3"/>
    </i>
    <i r="2">
      <x v="5"/>
    </i>
    <i r="2">
      <x v="6"/>
    </i>
    <i t="grand">
      <x/>
    </i>
  </rowItems>
  <colItems count="1">
    <i/>
  </colItems>
  <dataFields count="1">
    <dataField name="Total Risk Score" fld="5" baseField="1" baseItem="0"/>
  </dataFields>
  <formats count="5">
    <format dxfId="39">
      <pivotArea outline="0" collapsedLevelsAreSubtotals="1" fieldPosition="0"/>
    </format>
    <format dxfId="38">
      <pivotArea dataOnly="0" labelOnly="1" outline="0" axis="axisValues" fieldPosition="0"/>
    </format>
    <format dxfId="37">
      <pivotArea field="1" type="button" dataOnly="0" labelOnly="1" outline="0" axis="axisRow" fieldPosition="0"/>
    </format>
    <format dxfId="36">
      <pivotArea field="7" type="button" dataOnly="0" labelOnly="1" outline="0" axis="axisRow" fieldPosition="1"/>
    </format>
    <format dxfId="35">
      <pivotArea field="8" type="button" dataOnly="0" labelOnly="1" outline="0" axis="axisRow" fieldPosition="2"/>
    </format>
  </formats>
  <conditionalFormats count="2">
    <conditionalFormat priority="7">
      <pivotAreas count="1">
        <pivotArea type="data" outline="0" collapsedLevelsAreSubtotals="1" fieldPosition="0">
          <references count="4">
            <reference field="4294967294" count="1" selected="0">
              <x v="0"/>
            </reference>
            <reference field="1" count="5" selected="0">
              <x v="0"/>
              <x v="1"/>
              <x v="2"/>
              <x v="3"/>
              <x v="4"/>
            </reference>
            <reference field="7" count="4" selected="0">
              <x v="0"/>
              <x v="1"/>
              <x v="2"/>
              <x v="3"/>
            </reference>
            <reference field="8" count="9" selected="0">
              <x v="0"/>
              <x v="1"/>
              <x v="2"/>
              <x v="3"/>
              <x v="4"/>
              <x v="5"/>
              <x v="6"/>
              <x v="7"/>
              <x v="8"/>
            </reference>
          </references>
        </pivotArea>
      </pivotAreas>
    </conditionalFormat>
    <conditionalFormat priority="8">
      <pivotAreas count="1">
        <pivotArea type="data" outline="0" collapsedLevelsAreSubtotals="1" fieldPosition="0">
          <references count="4">
            <reference field="4294967294" count="1" selected="0">
              <x v="0"/>
            </reference>
            <reference field="1" count="5" selected="0">
              <x v="0"/>
              <x v="1"/>
              <x v="2"/>
              <x v="3"/>
              <x v="4"/>
            </reference>
            <reference field="7" count="4" selected="0">
              <x v="0"/>
              <x v="1"/>
              <x v="2"/>
              <x v="3"/>
            </reference>
            <reference field="8" count="9" selected="0">
              <x v="0"/>
              <x v="1"/>
              <x v="2"/>
              <x v="3"/>
              <x v="4"/>
              <x v="5"/>
              <x v="6"/>
              <x v="7"/>
              <x v="8"/>
            </reference>
          </references>
        </pivotArea>
      </pivotAreas>
    </conditionalFormat>
  </conditionalFormats>
  <chartFormats count="54">
    <chartFormat chart="11" format="2"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6" format="28" series="1">
      <pivotArea type="data" outline="0" fieldPosition="0">
        <references count="1">
          <reference field="4294967294" count="1" selected="0">
            <x v="0"/>
          </reference>
        </references>
      </pivotArea>
    </chartFormat>
    <chartFormat chart="16" format="29">
      <pivotArea type="data" outline="0" fieldPosition="0">
        <references count="4">
          <reference field="4294967294" count="1" selected="0">
            <x v="0"/>
          </reference>
          <reference field="1" count="1" selected="0">
            <x v="0"/>
          </reference>
          <reference field="7" count="1" selected="0">
            <x v="0"/>
          </reference>
          <reference field="8" count="1" selected="0">
            <x v="1"/>
          </reference>
        </references>
      </pivotArea>
    </chartFormat>
    <chartFormat chart="16" format="30">
      <pivotArea type="data" outline="0" fieldPosition="0">
        <references count="4">
          <reference field="4294967294" count="1" selected="0">
            <x v="0"/>
          </reference>
          <reference field="1" count="1" selected="0">
            <x v="0"/>
          </reference>
          <reference field="7" count="1" selected="0">
            <x v="1"/>
          </reference>
          <reference field="8" count="1" selected="0">
            <x v="0"/>
          </reference>
        </references>
      </pivotArea>
    </chartFormat>
    <chartFormat chart="16" format="31">
      <pivotArea type="data" outline="0" fieldPosition="0">
        <references count="4">
          <reference field="4294967294" count="1" selected="0">
            <x v="0"/>
          </reference>
          <reference field="1" count="1" selected="0">
            <x v="0"/>
          </reference>
          <reference field="7" count="1" selected="0">
            <x v="1"/>
          </reference>
          <reference field="8" count="1" selected="0">
            <x v="1"/>
          </reference>
        </references>
      </pivotArea>
    </chartFormat>
    <chartFormat chart="16" format="32">
      <pivotArea type="data" outline="0" fieldPosition="0">
        <references count="4">
          <reference field="4294967294" count="1" selected="0">
            <x v="0"/>
          </reference>
          <reference field="1" count="1" selected="0">
            <x v="0"/>
          </reference>
          <reference field="7" count="1" selected="0">
            <x v="3"/>
          </reference>
          <reference field="8" count="1" selected="0">
            <x v="0"/>
          </reference>
        </references>
      </pivotArea>
    </chartFormat>
    <chartFormat chart="16" format="33">
      <pivotArea type="data" outline="0" fieldPosition="0">
        <references count="4">
          <reference field="4294967294" count="1" selected="0">
            <x v="0"/>
          </reference>
          <reference field="1" count="1" selected="0">
            <x v="0"/>
          </reference>
          <reference field="7" count="1" selected="0">
            <x v="3"/>
          </reference>
          <reference field="8" count="1" selected="0">
            <x v="1"/>
          </reference>
        </references>
      </pivotArea>
    </chartFormat>
    <chartFormat chart="16" format="34">
      <pivotArea type="data" outline="0" fieldPosition="0">
        <references count="4">
          <reference field="4294967294" count="1" selected="0">
            <x v="0"/>
          </reference>
          <reference field="1" count="1" selected="0">
            <x v="1"/>
          </reference>
          <reference field="7" count="1" selected="0">
            <x v="1"/>
          </reference>
          <reference field="8" count="1" selected="0">
            <x v="4"/>
          </reference>
        </references>
      </pivotArea>
    </chartFormat>
    <chartFormat chart="16" format="35">
      <pivotArea type="data" outline="0" fieldPosition="0">
        <references count="4">
          <reference field="4294967294" count="1" selected="0">
            <x v="0"/>
          </reference>
          <reference field="1" count="1" selected="0">
            <x v="1"/>
          </reference>
          <reference field="7" count="1" selected="0">
            <x v="1"/>
          </reference>
          <reference field="8" count="1" selected="0">
            <x v="10"/>
          </reference>
        </references>
      </pivotArea>
    </chartFormat>
    <chartFormat chart="16" format="36">
      <pivotArea type="data" outline="0" fieldPosition="0">
        <references count="4">
          <reference field="4294967294" count="1" selected="0">
            <x v="0"/>
          </reference>
          <reference field="1" count="1" selected="0">
            <x v="1"/>
          </reference>
          <reference field="7" count="1" selected="0">
            <x v="2"/>
          </reference>
          <reference field="8" count="1" selected="0">
            <x v="4"/>
          </reference>
        </references>
      </pivotArea>
    </chartFormat>
    <chartFormat chart="16" format="37">
      <pivotArea type="data" outline="0" fieldPosition="0">
        <references count="4">
          <reference field="4294967294" count="1" selected="0">
            <x v="0"/>
          </reference>
          <reference field="1" count="1" selected="0">
            <x v="1"/>
          </reference>
          <reference field="7" count="1" selected="0">
            <x v="3"/>
          </reference>
          <reference field="8" count="1" selected="0">
            <x v="4"/>
          </reference>
        </references>
      </pivotArea>
    </chartFormat>
    <chartFormat chart="16" format="38">
      <pivotArea type="data" outline="0" fieldPosition="0">
        <references count="4">
          <reference field="4294967294" count="1" selected="0">
            <x v="0"/>
          </reference>
          <reference field="1" count="1" selected="0">
            <x v="1"/>
          </reference>
          <reference field="7" count="1" selected="0">
            <x v="3"/>
          </reference>
          <reference field="8" count="1" selected="0">
            <x v="7"/>
          </reference>
        </references>
      </pivotArea>
    </chartFormat>
    <chartFormat chart="16" format="39">
      <pivotArea type="data" outline="0" fieldPosition="0">
        <references count="4">
          <reference field="4294967294" count="1" selected="0">
            <x v="0"/>
          </reference>
          <reference field="1" count="1" selected="0">
            <x v="1"/>
          </reference>
          <reference field="7" count="1" selected="0">
            <x v="3"/>
          </reference>
          <reference field="8" count="1" selected="0">
            <x v="10"/>
          </reference>
        </references>
      </pivotArea>
    </chartFormat>
    <chartFormat chart="16" format="40">
      <pivotArea type="data" outline="0" fieldPosition="0">
        <references count="4">
          <reference field="4294967294" count="1" selected="0">
            <x v="0"/>
          </reference>
          <reference field="1" count="1" selected="0">
            <x v="2"/>
          </reference>
          <reference field="7" count="1" selected="0">
            <x v="1"/>
          </reference>
          <reference field="8" count="1" selected="0">
            <x v="8"/>
          </reference>
        </references>
      </pivotArea>
    </chartFormat>
    <chartFormat chart="16" format="41">
      <pivotArea type="data" outline="0" fieldPosition="0">
        <references count="4">
          <reference field="4294967294" count="1" selected="0">
            <x v="0"/>
          </reference>
          <reference field="1" count="1" selected="0">
            <x v="2"/>
          </reference>
          <reference field="7" count="1" selected="0">
            <x v="2"/>
          </reference>
          <reference field="8" count="1" selected="0">
            <x v="7"/>
          </reference>
        </references>
      </pivotArea>
    </chartFormat>
    <chartFormat chart="16" format="42">
      <pivotArea type="data" outline="0" fieldPosition="0">
        <references count="4">
          <reference field="4294967294" count="1" selected="0">
            <x v="0"/>
          </reference>
          <reference field="1" count="1" selected="0">
            <x v="2"/>
          </reference>
          <reference field="7" count="1" selected="0">
            <x v="3"/>
          </reference>
          <reference field="8" count="1" selected="0">
            <x v="4"/>
          </reference>
        </references>
      </pivotArea>
    </chartFormat>
    <chartFormat chart="16" format="43">
      <pivotArea type="data" outline="0" fieldPosition="0">
        <references count="4">
          <reference field="4294967294" count="1" selected="0">
            <x v="0"/>
          </reference>
          <reference field="1" count="1" selected="0">
            <x v="2"/>
          </reference>
          <reference field="7" count="1" selected="0">
            <x v="3"/>
          </reference>
          <reference field="8" count="1" selected="0">
            <x v="7"/>
          </reference>
        </references>
      </pivotArea>
    </chartFormat>
    <chartFormat chart="16" format="44">
      <pivotArea type="data" outline="0" fieldPosition="0">
        <references count="4">
          <reference field="4294967294" count="1" selected="0">
            <x v="0"/>
          </reference>
          <reference field="1" count="1" selected="0">
            <x v="2"/>
          </reference>
          <reference field="7" count="1" selected="0">
            <x v="3"/>
          </reference>
          <reference field="8" count="1" selected="0">
            <x v="8"/>
          </reference>
        </references>
      </pivotArea>
    </chartFormat>
    <chartFormat chart="16" format="45">
      <pivotArea type="data" outline="0" fieldPosition="0">
        <references count="4">
          <reference field="4294967294" count="1" selected="0">
            <x v="0"/>
          </reference>
          <reference field="1" count="1" selected="0">
            <x v="2"/>
          </reference>
          <reference field="7" count="1" selected="0">
            <x v="3"/>
          </reference>
          <reference field="8" count="1" selected="0">
            <x v="10"/>
          </reference>
        </references>
      </pivotArea>
    </chartFormat>
    <chartFormat chart="16" format="46">
      <pivotArea type="data" outline="0" fieldPosition="0">
        <references count="4">
          <reference field="4294967294" count="1" selected="0">
            <x v="0"/>
          </reference>
          <reference field="1" count="1" selected="0">
            <x v="3"/>
          </reference>
          <reference field="7" count="1" selected="0">
            <x v="2"/>
          </reference>
          <reference field="8" count="1" selected="0">
            <x v="6"/>
          </reference>
        </references>
      </pivotArea>
    </chartFormat>
    <chartFormat chart="16" format="47">
      <pivotArea type="data" outline="0" fieldPosition="0">
        <references count="4">
          <reference field="4294967294" count="1" selected="0">
            <x v="0"/>
          </reference>
          <reference field="1" count="1" selected="0">
            <x v="3"/>
          </reference>
          <reference field="7" count="1" selected="0">
            <x v="3"/>
          </reference>
          <reference field="8" count="1" selected="0">
            <x v="2"/>
          </reference>
        </references>
      </pivotArea>
    </chartFormat>
    <chartFormat chart="16" format="48">
      <pivotArea type="data" outline="0" fieldPosition="0">
        <references count="4">
          <reference field="4294967294" count="1" selected="0">
            <x v="0"/>
          </reference>
          <reference field="1" count="1" selected="0">
            <x v="3"/>
          </reference>
          <reference field="7" count="1" selected="0">
            <x v="3"/>
          </reference>
          <reference field="8" count="1" selected="0">
            <x v="3"/>
          </reference>
        </references>
      </pivotArea>
    </chartFormat>
    <chartFormat chart="16" format="49">
      <pivotArea type="data" outline="0" fieldPosition="0">
        <references count="4">
          <reference field="4294967294" count="1" selected="0">
            <x v="0"/>
          </reference>
          <reference field="1" count="1" selected="0">
            <x v="3"/>
          </reference>
          <reference field="7" count="1" selected="0">
            <x v="3"/>
          </reference>
          <reference field="8" count="1" selected="0">
            <x v="6"/>
          </reference>
        </references>
      </pivotArea>
    </chartFormat>
    <chartFormat chart="16" format="50">
      <pivotArea type="data" outline="0" fieldPosition="0">
        <references count="4">
          <reference field="4294967294" count="1" selected="0">
            <x v="0"/>
          </reference>
          <reference field="1" count="1" selected="0">
            <x v="4"/>
          </reference>
          <reference field="7" count="1" selected="0">
            <x v="1"/>
          </reference>
          <reference field="8" count="1" selected="0">
            <x v="5"/>
          </reference>
        </references>
      </pivotArea>
    </chartFormat>
    <chartFormat chart="16" format="51">
      <pivotArea type="data" outline="0" fieldPosition="0">
        <references count="4">
          <reference field="4294967294" count="1" selected="0">
            <x v="0"/>
          </reference>
          <reference field="1" count="1" selected="0">
            <x v="4"/>
          </reference>
          <reference field="7" count="1" selected="0">
            <x v="2"/>
          </reference>
          <reference field="8" count="1" selected="0">
            <x v="5"/>
          </reference>
        </references>
      </pivotArea>
    </chartFormat>
    <chartFormat chart="16" format="52">
      <pivotArea type="data" outline="0" fieldPosition="0">
        <references count="4">
          <reference field="4294967294" count="1" selected="0">
            <x v="0"/>
          </reference>
          <reference field="1" count="1" selected="0">
            <x v="4"/>
          </reference>
          <reference field="7" count="1" selected="0">
            <x v="3"/>
          </reference>
          <reference field="8" count="1" selected="0">
            <x v="3"/>
          </reference>
        </references>
      </pivotArea>
    </chartFormat>
    <chartFormat chart="16" format="53">
      <pivotArea type="data" outline="0" fieldPosition="0">
        <references count="4">
          <reference field="4294967294" count="1" selected="0">
            <x v="0"/>
          </reference>
          <reference field="1" count="1" selected="0">
            <x v="4"/>
          </reference>
          <reference field="7" count="1" selected="0">
            <x v="3"/>
          </reference>
          <reference field="8" count="1" selected="0">
            <x v="5"/>
          </reference>
        </references>
      </pivotArea>
    </chartFormat>
    <chartFormat chart="16" format="54">
      <pivotArea type="data" outline="0" fieldPosition="0">
        <references count="4">
          <reference field="4294967294" count="1" selected="0">
            <x v="0"/>
          </reference>
          <reference field="1" count="1" selected="0">
            <x v="4"/>
          </reference>
          <reference field="7" count="1" selected="0">
            <x v="3"/>
          </reference>
          <reference field="8" count="1" selected="0">
            <x v="6"/>
          </reference>
        </references>
      </pivotArea>
    </chartFormat>
    <chartFormat chart="18"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0"/>
          </reference>
        </references>
      </pivotArea>
    </chartFormat>
    <chartFormat chart="36" format="3">
      <pivotArea type="data" outline="0" fieldPosition="0">
        <references count="4">
          <reference field="4294967294" count="1" selected="0">
            <x v="0"/>
          </reference>
          <reference field="1" count="1" selected="0">
            <x v="3"/>
          </reference>
          <reference field="7" count="1" selected="0">
            <x v="3"/>
          </reference>
          <reference field="8" count="1" selected="0">
            <x v="6"/>
          </reference>
        </references>
      </pivotArea>
    </chartFormat>
    <chartFormat chart="36" format="4">
      <pivotArea type="data" outline="0" fieldPosition="0">
        <references count="4">
          <reference field="4294967294" count="1" selected="0">
            <x v="0"/>
          </reference>
          <reference field="1" count="1" selected="0">
            <x v="3"/>
          </reference>
          <reference field="7" count="1" selected="0">
            <x v="3"/>
          </reference>
          <reference field="8" count="1" selected="0">
            <x v="3"/>
          </reference>
        </references>
      </pivotArea>
    </chartFormat>
    <chartFormat chart="36" format="5">
      <pivotArea type="data" outline="0" fieldPosition="0">
        <references count="4">
          <reference field="4294967294" count="1" selected="0">
            <x v="0"/>
          </reference>
          <reference field="1" count="1" selected="0">
            <x v="3"/>
          </reference>
          <reference field="7" count="1" selected="0">
            <x v="3"/>
          </reference>
          <reference field="8" count="1" selected="0">
            <x v="2"/>
          </reference>
        </references>
      </pivotArea>
    </chartFormat>
    <chartFormat chart="36" format="6">
      <pivotArea type="data" outline="0" fieldPosition="0">
        <references count="4">
          <reference field="4294967294" count="1" selected="0">
            <x v="0"/>
          </reference>
          <reference field="1" count="1" selected="0">
            <x v="4"/>
          </reference>
          <reference field="7" count="1" selected="0">
            <x v="3"/>
          </reference>
          <reference field="8" count="1" selected="0">
            <x v="3"/>
          </reference>
        </references>
      </pivotArea>
    </chartFormat>
    <chartFormat chart="36" format="7">
      <pivotArea type="data" outline="0" fieldPosition="0">
        <references count="4">
          <reference field="4294967294" count="1" selected="0">
            <x v="0"/>
          </reference>
          <reference field="1" count="1" selected="0">
            <x v="4"/>
          </reference>
          <reference field="7" count="1" selected="0">
            <x v="3"/>
          </reference>
          <reference field="8" count="1" selected="0">
            <x v="5"/>
          </reference>
        </references>
      </pivotArea>
    </chartFormat>
    <chartFormat chart="36" format="8">
      <pivotArea type="data" outline="0" fieldPosition="0">
        <references count="4">
          <reference field="4294967294" count="1" selected="0">
            <x v="0"/>
          </reference>
          <reference field="1" count="1" selected="0">
            <x v="4"/>
          </reference>
          <reference field="7" count="1" selected="0">
            <x v="3"/>
          </reference>
          <reference field="8" count="1" selected="0">
            <x v="6"/>
          </reference>
        </references>
      </pivotArea>
    </chartFormat>
    <chartFormat chart="36" format="9">
      <pivotArea type="data" outline="0" fieldPosition="0">
        <references count="4">
          <reference field="4294967294" count="1" selected="0">
            <x v="0"/>
          </reference>
          <reference field="1" count="1" selected="0">
            <x v="3"/>
          </reference>
          <reference field="7" count="1" selected="0">
            <x v="2"/>
          </reference>
          <reference field="8" count="1" selected="0">
            <x v="6"/>
          </reference>
        </references>
      </pivotArea>
    </chartFormat>
    <chartFormat chart="36" format="10">
      <pivotArea type="data" outline="0" fieldPosition="0">
        <references count="4">
          <reference field="4294967294" count="1" selected="0">
            <x v="0"/>
          </reference>
          <reference field="1" count="1" selected="0">
            <x v="2"/>
          </reference>
          <reference field="7" count="1" selected="0">
            <x v="3"/>
          </reference>
          <reference field="8" count="1" selected="0">
            <x v="8"/>
          </reference>
        </references>
      </pivotArea>
    </chartFormat>
    <chartFormat chart="36" format="11">
      <pivotArea type="data" outline="0" fieldPosition="0">
        <references count="4">
          <reference field="4294967294" count="1" selected="0">
            <x v="0"/>
          </reference>
          <reference field="1" count="1" selected="0">
            <x v="2"/>
          </reference>
          <reference field="7" count="1" selected="0">
            <x v="3"/>
          </reference>
          <reference field="8" count="1" selected="0">
            <x v="7"/>
          </reference>
        </references>
      </pivotArea>
    </chartFormat>
    <chartFormat chart="36" format="12">
      <pivotArea type="data" outline="0" fieldPosition="0">
        <references count="4">
          <reference field="4294967294" count="1" selected="0">
            <x v="0"/>
          </reference>
          <reference field="1" count="1" selected="0">
            <x v="2"/>
          </reference>
          <reference field="7" count="1" selected="0">
            <x v="3"/>
          </reference>
          <reference field="8" count="1" selected="0">
            <x v="4"/>
          </reference>
        </references>
      </pivotArea>
    </chartFormat>
    <chartFormat chart="36" format="13">
      <pivotArea type="data" outline="0" fieldPosition="0">
        <references count="4">
          <reference field="4294967294" count="1" selected="0">
            <x v="0"/>
          </reference>
          <reference field="1" count="1" selected="0">
            <x v="2"/>
          </reference>
          <reference field="7" count="1" selected="0">
            <x v="2"/>
          </reference>
          <reference field="8" count="1" selected="0">
            <x v="7"/>
          </reference>
        </references>
      </pivotArea>
    </chartFormat>
    <chartFormat chart="36" format="14">
      <pivotArea type="data" outline="0" fieldPosition="0">
        <references count="4">
          <reference field="4294967294" count="1" selected="0">
            <x v="0"/>
          </reference>
          <reference field="1" count="1" selected="0">
            <x v="2"/>
          </reference>
          <reference field="7" count="1" selected="0">
            <x v="1"/>
          </reference>
          <reference field="8" count="1" selected="0">
            <x v="8"/>
          </reference>
        </references>
      </pivotArea>
    </chartFormat>
    <chartFormat chart="36" format="15">
      <pivotArea type="data" outline="0" fieldPosition="0">
        <references count="4">
          <reference field="4294967294" count="1" selected="0">
            <x v="0"/>
          </reference>
          <reference field="1" count="1" selected="0">
            <x v="1"/>
          </reference>
          <reference field="7" count="1" selected="0">
            <x v="3"/>
          </reference>
          <reference field="8" count="1" selected="0">
            <x v="7"/>
          </reference>
        </references>
      </pivotArea>
    </chartFormat>
    <chartFormat chart="36" format="16">
      <pivotArea type="data" outline="0" fieldPosition="0">
        <references count="4">
          <reference field="4294967294" count="1" selected="0">
            <x v="0"/>
          </reference>
          <reference field="1" count="1" selected="0">
            <x v="1"/>
          </reference>
          <reference field="7" count="1" selected="0">
            <x v="3"/>
          </reference>
          <reference field="8" count="1" selected="0">
            <x v="4"/>
          </reference>
        </references>
      </pivotArea>
    </chartFormat>
    <chartFormat chart="36" format="17">
      <pivotArea type="data" outline="0" fieldPosition="0">
        <references count="4">
          <reference field="4294967294" count="1" selected="0">
            <x v="0"/>
          </reference>
          <reference field="1" count="1" selected="0">
            <x v="1"/>
          </reference>
          <reference field="7" count="1" selected="0">
            <x v="1"/>
          </reference>
          <reference field="8" count="1" selected="0">
            <x v="4"/>
          </reference>
        </references>
      </pivotArea>
    </chartFormat>
    <chartFormat chart="36" format="18">
      <pivotArea type="data" outline="0" fieldPosition="0">
        <references count="4">
          <reference field="4294967294" count="1" selected="0">
            <x v="0"/>
          </reference>
          <reference field="1" count="1" selected="0">
            <x v="0"/>
          </reference>
          <reference field="7" count="1" selected="0">
            <x v="3"/>
          </reference>
          <reference field="8" count="1" selected="0">
            <x v="0"/>
          </reference>
        </references>
      </pivotArea>
    </chartFormat>
    <chartFormat chart="36" format="19">
      <pivotArea type="data" outline="0" fieldPosition="0">
        <references count="4">
          <reference field="4294967294" count="1" selected="0">
            <x v="0"/>
          </reference>
          <reference field="1" count="1" selected="0">
            <x v="0"/>
          </reference>
          <reference field="7" count="1" selected="0">
            <x v="1"/>
          </reference>
          <reference field="8" count="1" selected="0">
            <x v="1"/>
          </reference>
        </references>
      </pivotArea>
    </chartFormat>
    <chartFormat chart="36" format="20">
      <pivotArea type="data" outline="0" fieldPosition="0">
        <references count="4">
          <reference field="4294967294" count="1" selected="0">
            <x v="0"/>
          </reference>
          <reference field="1" count="1" selected="0">
            <x v="0"/>
          </reference>
          <reference field="7" count="1" selected="0">
            <x v="1"/>
          </reference>
          <reference field="8" count="1" selected="0">
            <x v="0"/>
          </reference>
        </references>
      </pivotArea>
    </chartFormat>
    <chartFormat chart="36" format="21">
      <pivotArea type="data" outline="0" fieldPosition="0">
        <references count="4">
          <reference field="4294967294" count="1" selected="0">
            <x v="0"/>
          </reference>
          <reference field="1" count="1" selected="0">
            <x v="0"/>
          </reference>
          <reference field="7" count="1" selected="0">
            <x v="0"/>
          </reference>
          <reference field="8"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_Category" xr10:uid="{257AA85C-B373-4125-8980-A00FDA62FBC7}" sourceName="Risk Category">
  <pivotTables>
    <pivotTable tabId="5" name="Risk Distribution by Category"/>
    <pivotTable tabId="5" name="Risk Identification Trend"/>
    <pivotTable tabId="5" name="Risk Responsibility Overview"/>
    <pivotTable tabId="5" name="Risk Status Breakdown"/>
  </pivotTables>
  <data>
    <tabular pivotCacheId="1252929207">
      <items count="6">
        <i x="1" s="1"/>
        <i x="0" s="1"/>
        <i x="3" s="1"/>
        <i x="4" s="1"/>
        <i x="2" s="1"/>
        <i x="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8460E528-89B7-4AE0-8078-F48E41B88C29}" sourceName="Status">
  <pivotTables>
    <pivotTable tabId="5" name="Risk Distribution by Category"/>
    <pivotTable tabId="5" name="Risk Identification Trend"/>
    <pivotTable tabId="5" name="Risk Responsibility Overview"/>
    <pivotTable tabId="5" name="Risk Status Breakdown"/>
  </pivotTables>
  <data>
    <tabular pivotCacheId="1252929207">
      <items count="5">
        <i x="3" s="1"/>
        <i x="1" s="1"/>
        <i x="2" s="1"/>
        <i x="0"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wner_Resoponsible_Person" xr10:uid="{54BF26C0-F797-4B7E-98A6-9C0DBD299CC5}" sourceName="Owner/Resoponsible Person">
  <pivotTables>
    <pivotTable tabId="5" name="Risk Distribution by Category"/>
    <pivotTable tabId="5" name="Risk Identification Trend"/>
    <pivotTable tabId="5" name="Risk Responsibility Overview"/>
    <pivotTable tabId="5" name="Risk Status Breakdown"/>
  </pivotTables>
  <data>
    <tabular pivotCacheId="1252929207">
      <items count="12">
        <i x="1" s="1"/>
        <i x="5" s="1"/>
        <i x="8" s="1"/>
        <i x="2" s="1"/>
        <i x="0" s="1"/>
        <i x="6" s="1"/>
        <i x="4" s="1"/>
        <i x="3" s="1"/>
        <i x="7" s="1"/>
        <i x="10" s="1" nd="1"/>
        <i x="9" s="1" nd="1"/>
        <i x="11"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isk Category" xr10:uid="{96B5E84E-F5B0-4C08-88BF-1937264F5FCC}" cache="Slicer_Risk_Category" caption="Risk Category" rowHeight="222250"/>
  <slicer name="Status" xr10:uid="{518927D1-C594-40FB-9902-A7960A9BB45C}" cache="Slicer_Status" caption="Status" rowHeight="222250"/>
  <slicer name="Owner/Resoponsible Person" xr10:uid="{4E718B8A-DE86-4B24-998A-74D71DC0C19A}" cache="Slicer_Owner_Resoponsible_Person" caption="Owner/Resoponsible Person" rowHeight="2222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8DC988-58A4-47CE-9206-133B52E72588}" name="Table2" displayName="Table2" ref="A2:L52" totalsRowShown="0" headerRowDxfId="42">
  <autoFilter ref="A2:L52" xr:uid="{9DBB9126-0223-4CEE-8B7D-BC1002EA9B72}"/>
  <tableColumns count="12">
    <tableColumn id="1" xr3:uid="{2DC1A80E-FB92-4CF9-9F2B-961130EAAF66}" name="Risk ID"/>
    <tableColumn id="2" xr3:uid="{1667A25D-64B4-44E7-8E06-4BB06FD10919}" name="Risk Category"/>
    <tableColumn id="3" xr3:uid="{175F3B1A-B714-4840-A926-3B406759E93B}" name="Risk Description"/>
    <tableColumn id="4" xr3:uid="{C1C23E6E-2532-4195-9E05-86FF7310FE87}" name="Likelihood(1-5)"/>
    <tableColumn id="5" xr3:uid="{587B8707-75B6-42AB-92B7-5E354BF18E40}" name="Impact(1-5)"/>
    <tableColumn id="6" xr3:uid="{72CC2A87-21EF-4510-8B94-3986CD456D55}" name="Risk Score"/>
    <tableColumn id="7" xr3:uid="{70B30DE3-8BFE-46AC-917B-E3A464021E9F}" name="Mitigation Plan"/>
    <tableColumn id="8" xr3:uid="{BA79D572-9E12-44A4-AA9C-8049B50DB7C1}" name="Status"/>
    <tableColumn id="9" xr3:uid="{CCB189A0-8B70-494B-859E-ABB7A728D29A}" name="Owner/Resoponsible Person"/>
    <tableColumn id="10" xr3:uid="{C330C357-6970-4820-BEEA-BEBB764604E8}" name="Data Identified" dataDxfId="41"/>
    <tableColumn id="11" xr3:uid="{E37C7FE6-C546-4937-BADE-1A59642F93F7}" name="Due Date for Mitigation" dataDxfId="40"/>
    <tableColumn id="12" xr3:uid="{4102D033-CC35-4A52-93D8-4F4891055F0F}" name="Notes/Comments"/>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8D8E4-345D-4888-AE60-89208AD2E6EA}">
  <sheetPr codeName="Sheet3"/>
  <dimension ref="L1:X1"/>
  <sheetViews>
    <sheetView tabSelected="1" zoomScale="85" zoomScaleNormal="85" workbookViewId="0">
      <selection activeCell="AK55" sqref="AK55"/>
    </sheetView>
  </sheetViews>
  <sheetFormatPr defaultColWidth="8.88671875" defaultRowHeight="13.8" x14ac:dyDescent="0.25"/>
  <cols>
    <col min="1" max="16384" width="8.88671875" style="11"/>
  </cols>
  <sheetData>
    <row r="1" spans="12:24" ht="30" x14ac:dyDescent="0.5">
      <c r="L1" s="16" t="s">
        <v>0</v>
      </c>
      <c r="M1" s="17"/>
      <c r="N1" s="17"/>
      <c r="O1" s="17"/>
      <c r="P1" s="17"/>
      <c r="Q1" s="17"/>
      <c r="R1" s="17"/>
      <c r="S1" s="17"/>
      <c r="T1" s="17"/>
      <c r="U1" s="17"/>
      <c r="V1" s="17"/>
      <c r="W1" s="17"/>
      <c r="X1" s="17"/>
    </row>
  </sheetData>
  <mergeCells count="1">
    <mergeCell ref="L1:X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28CEA-C078-4EC5-A3B3-068CD128F07C}">
  <sheetPr codeName="Sheet1"/>
  <dimension ref="A1:L52"/>
  <sheetViews>
    <sheetView zoomScale="115" zoomScaleNormal="115" workbookViewId="0">
      <selection activeCell="G36" sqref="G36"/>
    </sheetView>
  </sheetViews>
  <sheetFormatPr defaultRowHeight="13.8" x14ac:dyDescent="0.25"/>
  <cols>
    <col min="1" max="1" width="12.5546875" bestFit="1" customWidth="1"/>
    <col min="2" max="2" width="19.109375" bestFit="1" customWidth="1"/>
    <col min="3" max="3" width="35.6640625" bestFit="1" customWidth="1"/>
    <col min="4" max="4" width="20" bestFit="1" customWidth="1"/>
    <col min="5" max="5" width="16.44140625" bestFit="1" customWidth="1"/>
    <col min="6" max="6" width="15.5546875" bestFit="1" customWidth="1"/>
    <col min="7" max="7" width="34.88671875" bestFit="1" customWidth="1"/>
    <col min="8" max="8" width="11.33203125" bestFit="1" customWidth="1"/>
    <col min="9" max="9" width="32.33203125" bestFit="1" customWidth="1"/>
    <col min="10" max="10" width="19.6640625" style="5" bestFit="1" customWidth="1"/>
    <col min="11" max="11" width="28.33203125" style="1" bestFit="1" customWidth="1"/>
    <col min="12" max="12" width="24.109375" bestFit="1" customWidth="1"/>
    <col min="13" max="13" width="8.88671875" customWidth="1"/>
  </cols>
  <sheetData>
    <row r="1" spans="1:12" ht="24.6" x14ac:dyDescent="0.25">
      <c r="A1" s="18" t="s">
        <v>1</v>
      </c>
      <c r="B1" s="19"/>
      <c r="C1" s="19"/>
      <c r="D1" s="19"/>
      <c r="E1" s="19"/>
      <c r="F1" s="19"/>
      <c r="G1" s="19"/>
      <c r="H1" s="19"/>
      <c r="I1" s="19"/>
      <c r="J1" s="19"/>
      <c r="K1" s="19"/>
      <c r="L1" s="19"/>
    </row>
    <row r="2" spans="1:12" s="2" customFormat="1" ht="15.6" x14ac:dyDescent="0.3">
      <c r="A2" s="3" t="s">
        <v>2</v>
      </c>
      <c r="B2" s="3" t="s">
        <v>3</v>
      </c>
      <c r="C2" s="3" t="s">
        <v>4</v>
      </c>
      <c r="D2" s="3" t="s">
        <v>5</v>
      </c>
      <c r="E2" s="3" t="s">
        <v>6</v>
      </c>
      <c r="F2" s="3" t="s">
        <v>7</v>
      </c>
      <c r="G2" s="3" t="s">
        <v>8</v>
      </c>
      <c r="H2" s="3" t="s">
        <v>9</v>
      </c>
      <c r="I2" s="3" t="s">
        <v>10</v>
      </c>
      <c r="J2" s="6" t="s">
        <v>11</v>
      </c>
      <c r="K2" s="4" t="s">
        <v>12</v>
      </c>
      <c r="L2" s="3" t="s">
        <v>13</v>
      </c>
    </row>
    <row r="3" spans="1:12" x14ac:dyDescent="0.25">
      <c r="A3" t="s">
        <v>14</v>
      </c>
      <c r="B3" t="s">
        <v>15</v>
      </c>
      <c r="C3" t="s">
        <v>16</v>
      </c>
      <c r="D3">
        <v>4</v>
      </c>
      <c r="E3">
        <v>5</v>
      </c>
      <c r="F3">
        <f>D3*E3</f>
        <v>20</v>
      </c>
      <c r="G3" t="s">
        <v>17</v>
      </c>
      <c r="H3" t="s">
        <v>18</v>
      </c>
      <c r="I3" t="s">
        <v>19</v>
      </c>
      <c r="J3" s="7">
        <v>45695</v>
      </c>
      <c r="K3" s="7">
        <v>45973</v>
      </c>
      <c r="L3" t="s">
        <v>20</v>
      </c>
    </row>
    <row r="4" spans="1:12" x14ac:dyDescent="0.25">
      <c r="A4" t="s">
        <v>21</v>
      </c>
      <c r="B4" t="s">
        <v>22</v>
      </c>
      <c r="C4" t="s">
        <v>23</v>
      </c>
      <c r="D4">
        <v>3</v>
      </c>
      <c r="E4">
        <v>5</v>
      </c>
      <c r="F4">
        <f t="shared" ref="F4:F52" si="0">D4*E4</f>
        <v>15</v>
      </c>
      <c r="G4" t="s">
        <v>24</v>
      </c>
      <c r="H4" t="s">
        <v>25</v>
      </c>
      <c r="I4" t="s">
        <v>26</v>
      </c>
      <c r="J4" s="7">
        <v>45931</v>
      </c>
      <c r="K4" s="7" t="s">
        <v>27</v>
      </c>
      <c r="L4" t="s">
        <v>28</v>
      </c>
    </row>
    <row r="5" spans="1:12" x14ac:dyDescent="0.25">
      <c r="A5" t="s">
        <v>29</v>
      </c>
      <c r="B5" t="s">
        <v>30</v>
      </c>
      <c r="C5" t="s">
        <v>31</v>
      </c>
      <c r="D5">
        <v>5</v>
      </c>
      <c r="E5">
        <v>4</v>
      </c>
      <c r="F5">
        <f t="shared" si="0"/>
        <v>20</v>
      </c>
      <c r="G5" t="s">
        <v>32</v>
      </c>
      <c r="H5" t="s">
        <v>18</v>
      </c>
      <c r="I5" t="s">
        <v>33</v>
      </c>
      <c r="J5" s="7" t="s">
        <v>34</v>
      </c>
      <c r="K5" s="7">
        <v>45932</v>
      </c>
      <c r="L5" t="s">
        <v>35</v>
      </c>
    </row>
    <row r="6" spans="1:12" x14ac:dyDescent="0.25">
      <c r="A6" t="s">
        <v>36</v>
      </c>
      <c r="B6" t="s">
        <v>37</v>
      </c>
      <c r="C6" t="s">
        <v>38</v>
      </c>
      <c r="D6">
        <v>2</v>
      </c>
      <c r="E6">
        <v>5</v>
      </c>
      <c r="F6">
        <f t="shared" si="0"/>
        <v>10</v>
      </c>
      <c r="G6" t="s">
        <v>39</v>
      </c>
      <c r="H6" t="s">
        <v>40</v>
      </c>
      <c r="I6" t="s">
        <v>41</v>
      </c>
      <c r="J6" s="7">
        <v>45424</v>
      </c>
      <c r="K6" s="7">
        <v>45778</v>
      </c>
      <c r="L6" t="s">
        <v>42</v>
      </c>
    </row>
    <row r="7" spans="1:12" x14ac:dyDescent="0.25">
      <c r="A7" t="s">
        <v>43</v>
      </c>
      <c r="B7" t="s">
        <v>44</v>
      </c>
      <c r="C7" t="s">
        <v>45</v>
      </c>
      <c r="D7">
        <v>4</v>
      </c>
      <c r="E7">
        <v>3</v>
      </c>
      <c r="F7">
        <f t="shared" si="0"/>
        <v>12</v>
      </c>
      <c r="G7" t="s">
        <v>46</v>
      </c>
      <c r="H7" t="s">
        <v>18</v>
      </c>
      <c r="I7" t="s">
        <v>47</v>
      </c>
      <c r="J7" s="7" t="s">
        <v>48</v>
      </c>
      <c r="K7" s="7" t="s">
        <v>49</v>
      </c>
      <c r="L7" t="s">
        <v>50</v>
      </c>
    </row>
    <row r="8" spans="1:12" x14ac:dyDescent="0.25">
      <c r="A8" t="s">
        <v>51</v>
      </c>
      <c r="B8" t="s">
        <v>15</v>
      </c>
      <c r="C8" t="s">
        <v>52</v>
      </c>
      <c r="D8">
        <v>3</v>
      </c>
      <c r="E8">
        <v>4</v>
      </c>
      <c r="F8">
        <f t="shared" si="0"/>
        <v>12</v>
      </c>
      <c r="G8" t="s">
        <v>53</v>
      </c>
      <c r="H8" t="s">
        <v>25</v>
      </c>
      <c r="I8" t="s">
        <v>19</v>
      </c>
      <c r="J8" s="7" t="s">
        <v>54</v>
      </c>
      <c r="K8" s="7">
        <v>45780</v>
      </c>
      <c r="L8" t="s">
        <v>55</v>
      </c>
    </row>
    <row r="9" spans="1:12" x14ac:dyDescent="0.25">
      <c r="A9" t="s">
        <v>56</v>
      </c>
      <c r="B9" t="s">
        <v>22</v>
      </c>
      <c r="C9" t="s">
        <v>57</v>
      </c>
      <c r="D9">
        <v>2</v>
      </c>
      <c r="E9">
        <v>3</v>
      </c>
      <c r="F9">
        <f t="shared" si="0"/>
        <v>6</v>
      </c>
      <c r="G9" t="s">
        <v>58</v>
      </c>
      <c r="H9" t="s">
        <v>59</v>
      </c>
      <c r="I9" t="s">
        <v>60</v>
      </c>
      <c r="J9" s="7" t="s">
        <v>61</v>
      </c>
      <c r="K9" s="7" t="s">
        <v>62</v>
      </c>
      <c r="L9" t="s">
        <v>63</v>
      </c>
    </row>
    <row r="10" spans="1:12" x14ac:dyDescent="0.25">
      <c r="A10" t="s">
        <v>64</v>
      </c>
      <c r="B10" t="s">
        <v>30</v>
      </c>
      <c r="C10" t="s">
        <v>65</v>
      </c>
      <c r="D10">
        <v>3</v>
      </c>
      <c r="E10">
        <v>2</v>
      </c>
      <c r="F10">
        <f t="shared" si="0"/>
        <v>6</v>
      </c>
      <c r="G10" t="s">
        <v>66</v>
      </c>
      <c r="H10" t="s">
        <v>18</v>
      </c>
      <c r="I10" t="s">
        <v>67</v>
      </c>
      <c r="J10" s="7" t="s">
        <v>68</v>
      </c>
      <c r="K10" s="7" t="s">
        <v>69</v>
      </c>
      <c r="L10" t="s">
        <v>70</v>
      </c>
    </row>
    <row r="11" spans="1:12" x14ac:dyDescent="0.25">
      <c r="A11" t="s">
        <v>71</v>
      </c>
      <c r="B11" t="s">
        <v>37</v>
      </c>
      <c r="C11" t="s">
        <v>72</v>
      </c>
      <c r="D11">
        <v>4</v>
      </c>
      <c r="E11">
        <v>5</v>
      </c>
      <c r="F11">
        <f t="shared" si="0"/>
        <v>20</v>
      </c>
      <c r="G11" t="s">
        <v>73</v>
      </c>
      <c r="H11" t="s">
        <v>25</v>
      </c>
      <c r="I11" t="s">
        <v>74</v>
      </c>
      <c r="J11" s="7">
        <v>45992</v>
      </c>
      <c r="K11" s="7" t="s">
        <v>75</v>
      </c>
      <c r="L11" t="s">
        <v>76</v>
      </c>
    </row>
    <row r="12" spans="1:12" x14ac:dyDescent="0.25">
      <c r="A12" t="s">
        <v>77</v>
      </c>
      <c r="B12" t="s">
        <v>44</v>
      </c>
      <c r="C12" t="s">
        <v>78</v>
      </c>
      <c r="D12">
        <v>5</v>
      </c>
      <c r="E12">
        <v>4</v>
      </c>
      <c r="F12">
        <f t="shared" si="0"/>
        <v>20</v>
      </c>
      <c r="G12" t="s">
        <v>79</v>
      </c>
      <c r="H12" t="s">
        <v>18</v>
      </c>
      <c r="I12" t="s">
        <v>80</v>
      </c>
      <c r="J12" s="7">
        <v>45718</v>
      </c>
      <c r="K12" s="7" t="s">
        <v>49</v>
      </c>
      <c r="L12" t="s">
        <v>81</v>
      </c>
    </row>
    <row r="13" spans="1:12" x14ac:dyDescent="0.25">
      <c r="A13" t="s">
        <v>82</v>
      </c>
      <c r="B13" t="s">
        <v>15</v>
      </c>
      <c r="C13" t="s">
        <v>83</v>
      </c>
      <c r="D13">
        <v>5</v>
      </c>
      <c r="E13">
        <v>4</v>
      </c>
      <c r="F13">
        <f t="shared" si="0"/>
        <v>20</v>
      </c>
      <c r="G13" t="s">
        <v>84</v>
      </c>
      <c r="H13" t="s">
        <v>18</v>
      </c>
      <c r="I13" t="s">
        <v>19</v>
      </c>
      <c r="J13" s="7">
        <v>45659</v>
      </c>
      <c r="K13" s="7" t="s">
        <v>49</v>
      </c>
      <c r="L13" t="s">
        <v>85</v>
      </c>
    </row>
    <row r="14" spans="1:12" x14ac:dyDescent="0.25">
      <c r="A14" t="s">
        <v>86</v>
      </c>
      <c r="B14" t="s">
        <v>22</v>
      </c>
      <c r="C14" t="s">
        <v>87</v>
      </c>
      <c r="D14">
        <v>3</v>
      </c>
      <c r="E14">
        <v>4</v>
      </c>
      <c r="F14">
        <f t="shared" si="0"/>
        <v>12</v>
      </c>
      <c r="G14" t="s">
        <v>88</v>
      </c>
      <c r="H14" t="s">
        <v>25</v>
      </c>
      <c r="I14" t="s">
        <v>26</v>
      </c>
      <c r="J14" s="7">
        <v>45931</v>
      </c>
      <c r="K14" s="10" t="s">
        <v>89</v>
      </c>
      <c r="L14" t="s">
        <v>90</v>
      </c>
    </row>
    <row r="15" spans="1:12" x14ac:dyDescent="0.25">
      <c r="A15" t="s">
        <v>91</v>
      </c>
      <c r="B15" t="s">
        <v>30</v>
      </c>
      <c r="C15" t="s">
        <v>92</v>
      </c>
      <c r="D15">
        <v>4</v>
      </c>
      <c r="E15">
        <v>3</v>
      </c>
      <c r="F15">
        <f t="shared" si="0"/>
        <v>12</v>
      </c>
      <c r="G15" t="s">
        <v>93</v>
      </c>
      <c r="H15" t="s">
        <v>18</v>
      </c>
      <c r="I15" t="s">
        <v>33</v>
      </c>
      <c r="J15" s="8" t="s">
        <v>48</v>
      </c>
      <c r="K15" s="7" t="s">
        <v>75</v>
      </c>
      <c r="L15" t="s">
        <v>94</v>
      </c>
    </row>
    <row r="16" spans="1:12" x14ac:dyDescent="0.25">
      <c r="A16" t="s">
        <v>95</v>
      </c>
      <c r="B16" t="s">
        <v>37</v>
      </c>
      <c r="C16" t="s">
        <v>96</v>
      </c>
      <c r="D16">
        <v>5</v>
      </c>
      <c r="E16">
        <v>5</v>
      </c>
      <c r="F16">
        <f t="shared" si="0"/>
        <v>25</v>
      </c>
      <c r="G16" t="s">
        <v>97</v>
      </c>
      <c r="H16" t="s">
        <v>18</v>
      </c>
      <c r="I16" t="s">
        <v>74</v>
      </c>
      <c r="J16" s="8" t="s">
        <v>34</v>
      </c>
      <c r="K16" s="7">
        <v>45660</v>
      </c>
      <c r="L16" t="s">
        <v>98</v>
      </c>
    </row>
    <row r="17" spans="1:12" x14ac:dyDescent="0.25">
      <c r="A17" t="s">
        <v>99</v>
      </c>
      <c r="B17" t="s">
        <v>44</v>
      </c>
      <c r="C17" t="s">
        <v>100</v>
      </c>
      <c r="D17">
        <v>3</v>
      </c>
      <c r="E17">
        <v>5</v>
      </c>
      <c r="F17">
        <f t="shared" si="0"/>
        <v>15</v>
      </c>
      <c r="G17" t="s">
        <v>101</v>
      </c>
      <c r="H17" t="s">
        <v>40</v>
      </c>
      <c r="I17" t="s">
        <v>47</v>
      </c>
      <c r="J17" s="7">
        <v>45424</v>
      </c>
      <c r="K17" s="7" t="s">
        <v>48</v>
      </c>
      <c r="L17" t="s">
        <v>102</v>
      </c>
    </row>
    <row r="18" spans="1:12" x14ac:dyDescent="0.25">
      <c r="A18" t="s">
        <v>103</v>
      </c>
      <c r="B18" t="s">
        <v>15</v>
      </c>
      <c r="C18" t="s">
        <v>104</v>
      </c>
      <c r="D18">
        <v>4</v>
      </c>
      <c r="E18">
        <v>5</v>
      </c>
      <c r="F18">
        <f t="shared" si="0"/>
        <v>20</v>
      </c>
      <c r="G18" t="s">
        <v>105</v>
      </c>
      <c r="H18" t="s">
        <v>18</v>
      </c>
      <c r="I18" t="s">
        <v>19</v>
      </c>
      <c r="J18" s="7" t="s">
        <v>106</v>
      </c>
      <c r="K18" s="7" t="s">
        <v>49</v>
      </c>
      <c r="L18" t="s">
        <v>107</v>
      </c>
    </row>
    <row r="19" spans="1:12" x14ac:dyDescent="0.25">
      <c r="A19" t="s">
        <v>108</v>
      </c>
      <c r="B19" t="s">
        <v>22</v>
      </c>
      <c r="C19" t="s">
        <v>109</v>
      </c>
      <c r="D19">
        <v>2</v>
      </c>
      <c r="E19">
        <v>3</v>
      </c>
      <c r="F19">
        <f t="shared" si="0"/>
        <v>6</v>
      </c>
      <c r="G19" t="s">
        <v>110</v>
      </c>
      <c r="H19" t="s">
        <v>59</v>
      </c>
      <c r="I19" t="s">
        <v>60</v>
      </c>
      <c r="J19" s="7" t="s">
        <v>111</v>
      </c>
      <c r="K19" s="7" t="s">
        <v>62</v>
      </c>
      <c r="L19" t="s">
        <v>63</v>
      </c>
    </row>
    <row r="20" spans="1:12" x14ac:dyDescent="0.25">
      <c r="A20" t="s">
        <v>112</v>
      </c>
      <c r="B20" t="s">
        <v>30</v>
      </c>
      <c r="C20" t="s">
        <v>113</v>
      </c>
      <c r="D20">
        <v>3</v>
      </c>
      <c r="E20">
        <v>2</v>
      </c>
      <c r="F20">
        <f t="shared" si="0"/>
        <v>6</v>
      </c>
      <c r="G20" t="s">
        <v>114</v>
      </c>
      <c r="H20" t="s">
        <v>25</v>
      </c>
      <c r="I20" t="s">
        <v>67</v>
      </c>
      <c r="J20" s="8" t="s">
        <v>68</v>
      </c>
      <c r="K20" s="7">
        <v>45932</v>
      </c>
      <c r="L20" t="s">
        <v>115</v>
      </c>
    </row>
    <row r="21" spans="1:12" x14ac:dyDescent="0.25">
      <c r="A21" t="s">
        <v>116</v>
      </c>
      <c r="B21" t="s">
        <v>37</v>
      </c>
      <c r="C21" t="s">
        <v>117</v>
      </c>
      <c r="D21">
        <v>4</v>
      </c>
      <c r="E21">
        <v>5</v>
      </c>
      <c r="F21">
        <f t="shared" si="0"/>
        <v>20</v>
      </c>
      <c r="G21" t="s">
        <v>118</v>
      </c>
      <c r="H21" t="s">
        <v>18</v>
      </c>
      <c r="I21" t="s">
        <v>19</v>
      </c>
      <c r="J21" s="7">
        <v>45992</v>
      </c>
      <c r="K21" s="7" t="s">
        <v>27</v>
      </c>
      <c r="L21" t="s">
        <v>119</v>
      </c>
    </row>
    <row r="22" spans="1:12" x14ac:dyDescent="0.25">
      <c r="A22" t="s">
        <v>120</v>
      </c>
      <c r="B22" t="s">
        <v>44</v>
      </c>
      <c r="C22" t="s">
        <v>121</v>
      </c>
      <c r="D22">
        <v>4</v>
      </c>
      <c r="E22">
        <v>4</v>
      </c>
      <c r="F22">
        <f t="shared" si="0"/>
        <v>16</v>
      </c>
      <c r="G22" t="s">
        <v>122</v>
      </c>
      <c r="H22" t="s">
        <v>18</v>
      </c>
      <c r="I22" t="s">
        <v>47</v>
      </c>
      <c r="J22" s="8" t="s">
        <v>34</v>
      </c>
      <c r="K22" s="7" t="s">
        <v>123</v>
      </c>
      <c r="L22" t="s">
        <v>124</v>
      </c>
    </row>
    <row r="23" spans="1:12" x14ac:dyDescent="0.25">
      <c r="A23" t="s">
        <v>125</v>
      </c>
      <c r="B23" t="s">
        <v>15</v>
      </c>
      <c r="C23" t="s">
        <v>126</v>
      </c>
      <c r="D23">
        <v>4</v>
      </c>
      <c r="E23">
        <v>4</v>
      </c>
      <c r="F23">
        <f t="shared" si="0"/>
        <v>16</v>
      </c>
      <c r="G23" t="s">
        <v>127</v>
      </c>
      <c r="H23" t="s">
        <v>25</v>
      </c>
      <c r="I23" t="s">
        <v>19</v>
      </c>
      <c r="J23" s="8" t="s">
        <v>54</v>
      </c>
      <c r="K23" s="7">
        <v>45780</v>
      </c>
      <c r="L23" t="s">
        <v>128</v>
      </c>
    </row>
    <row r="24" spans="1:12" x14ac:dyDescent="0.25">
      <c r="A24" t="s">
        <v>129</v>
      </c>
      <c r="B24" t="s">
        <v>22</v>
      </c>
      <c r="C24" t="s">
        <v>130</v>
      </c>
      <c r="D24">
        <v>3</v>
      </c>
      <c r="E24">
        <v>3</v>
      </c>
      <c r="F24">
        <f t="shared" si="0"/>
        <v>9</v>
      </c>
      <c r="G24" t="s">
        <v>131</v>
      </c>
      <c r="H24" t="s">
        <v>18</v>
      </c>
      <c r="I24" t="s">
        <v>26</v>
      </c>
      <c r="J24" s="7">
        <v>45932</v>
      </c>
      <c r="K24" s="7" t="s">
        <v>132</v>
      </c>
      <c r="L24" t="s">
        <v>133</v>
      </c>
    </row>
    <row r="25" spans="1:12" x14ac:dyDescent="0.25">
      <c r="A25" t="s">
        <v>134</v>
      </c>
      <c r="B25" t="s">
        <v>30</v>
      </c>
      <c r="C25" t="s">
        <v>135</v>
      </c>
      <c r="D25">
        <v>2</v>
      </c>
      <c r="E25">
        <v>3</v>
      </c>
      <c r="F25">
        <f t="shared" si="0"/>
        <v>6</v>
      </c>
      <c r="G25" t="s">
        <v>136</v>
      </c>
      <c r="H25" t="s">
        <v>40</v>
      </c>
      <c r="I25" t="s">
        <v>67</v>
      </c>
      <c r="J25" s="7">
        <v>45778</v>
      </c>
      <c r="K25" s="7" t="s">
        <v>69</v>
      </c>
      <c r="L25" t="s">
        <v>63</v>
      </c>
    </row>
    <row r="26" spans="1:12" x14ac:dyDescent="0.25">
      <c r="A26" t="s">
        <v>137</v>
      </c>
      <c r="B26" t="s">
        <v>37</v>
      </c>
      <c r="C26" t="s">
        <v>138</v>
      </c>
      <c r="D26">
        <v>4</v>
      </c>
      <c r="E26">
        <v>5</v>
      </c>
      <c r="F26">
        <f t="shared" si="0"/>
        <v>20</v>
      </c>
      <c r="G26" t="s">
        <v>139</v>
      </c>
      <c r="H26" t="s">
        <v>18</v>
      </c>
      <c r="I26" t="s">
        <v>41</v>
      </c>
      <c r="J26" s="7">
        <v>45659</v>
      </c>
      <c r="K26" s="7">
        <v>45660</v>
      </c>
      <c r="L26" t="s">
        <v>140</v>
      </c>
    </row>
    <row r="27" spans="1:12" x14ac:dyDescent="0.25">
      <c r="A27" t="s">
        <v>141</v>
      </c>
      <c r="B27" t="s">
        <v>44</v>
      </c>
      <c r="C27" t="s">
        <v>142</v>
      </c>
      <c r="D27">
        <v>5</v>
      </c>
      <c r="E27">
        <v>5</v>
      </c>
      <c r="F27">
        <f t="shared" si="0"/>
        <v>25</v>
      </c>
      <c r="G27" t="s">
        <v>143</v>
      </c>
      <c r="H27" t="s">
        <v>18</v>
      </c>
      <c r="I27" t="s">
        <v>80</v>
      </c>
      <c r="J27" s="8" t="s">
        <v>69</v>
      </c>
      <c r="K27" s="7">
        <v>45934</v>
      </c>
      <c r="L27" t="s">
        <v>144</v>
      </c>
    </row>
    <row r="28" spans="1:12" x14ac:dyDescent="0.25">
      <c r="A28" t="s">
        <v>145</v>
      </c>
      <c r="B28" t="s">
        <v>15</v>
      </c>
      <c r="C28" t="s">
        <v>146</v>
      </c>
      <c r="D28">
        <v>3</v>
      </c>
      <c r="E28">
        <v>4</v>
      </c>
      <c r="F28">
        <f t="shared" si="0"/>
        <v>12</v>
      </c>
      <c r="G28" t="s">
        <v>147</v>
      </c>
      <c r="H28" t="s">
        <v>25</v>
      </c>
      <c r="I28" t="s">
        <v>19</v>
      </c>
      <c r="J28" s="8" t="s">
        <v>54</v>
      </c>
      <c r="K28" s="7" t="s">
        <v>49</v>
      </c>
      <c r="L28" t="s">
        <v>148</v>
      </c>
    </row>
    <row r="29" spans="1:12" x14ac:dyDescent="0.25">
      <c r="A29" t="s">
        <v>149</v>
      </c>
      <c r="B29" t="s">
        <v>22</v>
      </c>
      <c r="C29" t="s">
        <v>150</v>
      </c>
      <c r="D29">
        <v>2</v>
      </c>
      <c r="E29">
        <v>3</v>
      </c>
      <c r="F29">
        <f t="shared" si="0"/>
        <v>6</v>
      </c>
      <c r="G29" t="s">
        <v>151</v>
      </c>
      <c r="H29" t="s">
        <v>18</v>
      </c>
      <c r="I29" t="s">
        <v>60</v>
      </c>
      <c r="J29" s="7">
        <v>45992</v>
      </c>
      <c r="K29" s="7" t="s">
        <v>27</v>
      </c>
      <c r="L29" t="s">
        <v>152</v>
      </c>
    </row>
    <row r="30" spans="1:12" x14ac:dyDescent="0.25">
      <c r="A30" t="s">
        <v>153</v>
      </c>
      <c r="B30" t="s">
        <v>30</v>
      </c>
      <c r="C30" t="s">
        <v>154</v>
      </c>
      <c r="D30">
        <v>4</v>
      </c>
      <c r="E30">
        <v>2</v>
      </c>
      <c r="F30">
        <f t="shared" si="0"/>
        <v>8</v>
      </c>
      <c r="G30" t="s">
        <v>155</v>
      </c>
      <c r="H30" t="s">
        <v>18</v>
      </c>
      <c r="I30" t="s">
        <v>47</v>
      </c>
      <c r="J30" s="8" t="s">
        <v>68</v>
      </c>
      <c r="K30" s="7" t="s">
        <v>123</v>
      </c>
      <c r="L30" t="s">
        <v>156</v>
      </c>
    </row>
    <row r="31" spans="1:12" x14ac:dyDescent="0.25">
      <c r="A31" t="s">
        <v>157</v>
      </c>
      <c r="B31" t="s">
        <v>37</v>
      </c>
      <c r="C31" t="s">
        <v>158</v>
      </c>
      <c r="D31">
        <v>5</v>
      </c>
      <c r="E31">
        <v>5</v>
      </c>
      <c r="F31">
        <f t="shared" si="0"/>
        <v>25</v>
      </c>
      <c r="G31" t="s">
        <v>159</v>
      </c>
      <c r="H31" t="s">
        <v>18</v>
      </c>
      <c r="I31" t="s">
        <v>19</v>
      </c>
      <c r="J31" s="8" t="s">
        <v>34</v>
      </c>
      <c r="K31" s="7">
        <v>45933</v>
      </c>
      <c r="L31" t="s">
        <v>85</v>
      </c>
    </row>
    <row r="32" spans="1:12" x14ac:dyDescent="0.25">
      <c r="A32" t="s">
        <v>160</v>
      </c>
      <c r="B32" t="s">
        <v>44</v>
      </c>
      <c r="C32" t="s">
        <v>161</v>
      </c>
      <c r="D32">
        <v>4</v>
      </c>
      <c r="E32">
        <v>3</v>
      </c>
      <c r="F32">
        <f t="shared" si="0"/>
        <v>12</v>
      </c>
      <c r="G32" t="s">
        <v>162</v>
      </c>
      <c r="H32" t="s">
        <v>18</v>
      </c>
      <c r="I32" t="s">
        <v>33</v>
      </c>
      <c r="J32" s="8" t="s">
        <v>69</v>
      </c>
      <c r="K32" s="7">
        <v>45781</v>
      </c>
      <c r="L32" t="s">
        <v>163</v>
      </c>
    </row>
    <row r="33" spans="1:12" x14ac:dyDescent="0.25">
      <c r="A33" t="s">
        <v>164</v>
      </c>
      <c r="B33" t="s">
        <v>15</v>
      </c>
      <c r="C33" t="s">
        <v>165</v>
      </c>
      <c r="D33">
        <v>3</v>
      </c>
      <c r="E33">
        <v>4</v>
      </c>
      <c r="F33">
        <f t="shared" si="0"/>
        <v>12</v>
      </c>
      <c r="G33" t="s">
        <v>166</v>
      </c>
      <c r="H33" t="s">
        <v>18</v>
      </c>
      <c r="I33" t="s">
        <v>19</v>
      </c>
      <c r="J33" s="7">
        <v>45749</v>
      </c>
      <c r="K33" s="7" t="s">
        <v>167</v>
      </c>
      <c r="L33" t="s">
        <v>168</v>
      </c>
    </row>
    <row r="34" spans="1:12" x14ac:dyDescent="0.25">
      <c r="A34" t="s">
        <v>169</v>
      </c>
      <c r="B34" t="s">
        <v>22</v>
      </c>
      <c r="C34" t="s">
        <v>52</v>
      </c>
      <c r="D34">
        <v>2</v>
      </c>
      <c r="E34">
        <v>3</v>
      </c>
      <c r="F34">
        <f t="shared" si="0"/>
        <v>6</v>
      </c>
      <c r="G34" t="s">
        <v>170</v>
      </c>
      <c r="H34" t="s">
        <v>25</v>
      </c>
      <c r="I34" t="s">
        <v>60</v>
      </c>
      <c r="J34" s="7">
        <v>45871</v>
      </c>
      <c r="K34" s="7" t="s">
        <v>171</v>
      </c>
      <c r="L34" t="s">
        <v>172</v>
      </c>
    </row>
    <row r="35" spans="1:12" x14ac:dyDescent="0.25">
      <c r="A35" t="s">
        <v>173</v>
      </c>
      <c r="B35" t="s">
        <v>30</v>
      </c>
      <c r="C35" t="s">
        <v>174</v>
      </c>
      <c r="D35">
        <v>3</v>
      </c>
      <c r="E35">
        <v>2</v>
      </c>
      <c r="F35">
        <f t="shared" si="0"/>
        <v>6</v>
      </c>
      <c r="G35" t="s">
        <v>175</v>
      </c>
      <c r="H35" t="s">
        <v>18</v>
      </c>
      <c r="I35" t="s">
        <v>67</v>
      </c>
      <c r="J35" s="7">
        <v>45932</v>
      </c>
      <c r="K35" s="7" t="s">
        <v>27</v>
      </c>
      <c r="L35" t="s">
        <v>176</v>
      </c>
    </row>
    <row r="36" spans="1:12" x14ac:dyDescent="0.25">
      <c r="A36" t="s">
        <v>177</v>
      </c>
      <c r="B36" t="s">
        <v>37</v>
      </c>
      <c r="C36" t="s">
        <v>178</v>
      </c>
      <c r="D36">
        <v>5</v>
      </c>
      <c r="E36">
        <v>4</v>
      </c>
      <c r="F36">
        <f t="shared" si="0"/>
        <v>20</v>
      </c>
      <c r="G36" t="s">
        <v>179</v>
      </c>
      <c r="H36" t="s">
        <v>18</v>
      </c>
      <c r="I36" t="s">
        <v>19</v>
      </c>
      <c r="J36" s="7">
        <v>45993</v>
      </c>
      <c r="K36" s="7">
        <v>45780</v>
      </c>
      <c r="L36" t="s">
        <v>180</v>
      </c>
    </row>
    <row r="37" spans="1:12" x14ac:dyDescent="0.25">
      <c r="A37" t="s">
        <v>181</v>
      </c>
      <c r="B37" t="s">
        <v>44</v>
      </c>
      <c r="C37" t="s">
        <v>182</v>
      </c>
      <c r="D37">
        <v>4</v>
      </c>
      <c r="E37">
        <v>5</v>
      </c>
      <c r="F37">
        <f t="shared" si="0"/>
        <v>20</v>
      </c>
      <c r="G37" t="s">
        <v>183</v>
      </c>
      <c r="H37" t="s">
        <v>18</v>
      </c>
      <c r="I37" t="s">
        <v>47</v>
      </c>
      <c r="J37" s="8" t="s">
        <v>69</v>
      </c>
      <c r="K37" s="7">
        <v>45661</v>
      </c>
      <c r="L37" t="s">
        <v>184</v>
      </c>
    </row>
    <row r="38" spans="1:12" x14ac:dyDescent="0.25">
      <c r="A38" t="s">
        <v>185</v>
      </c>
      <c r="B38" t="s">
        <v>15</v>
      </c>
      <c r="C38" t="s">
        <v>186</v>
      </c>
      <c r="D38">
        <v>2</v>
      </c>
      <c r="E38">
        <v>3</v>
      </c>
      <c r="F38">
        <f t="shared" si="0"/>
        <v>6</v>
      </c>
      <c r="G38" t="s">
        <v>187</v>
      </c>
      <c r="H38" t="s">
        <v>40</v>
      </c>
      <c r="I38" t="s">
        <v>19</v>
      </c>
      <c r="J38" s="8" t="s">
        <v>167</v>
      </c>
      <c r="K38" s="7" t="s">
        <v>27</v>
      </c>
      <c r="L38" t="s">
        <v>188</v>
      </c>
    </row>
    <row r="39" spans="1:12" x14ac:dyDescent="0.25">
      <c r="A39" t="s">
        <v>189</v>
      </c>
      <c r="B39" t="s">
        <v>22</v>
      </c>
      <c r="C39" t="s">
        <v>190</v>
      </c>
      <c r="D39">
        <v>3</v>
      </c>
      <c r="E39">
        <v>4</v>
      </c>
      <c r="F39">
        <f t="shared" si="0"/>
        <v>12</v>
      </c>
      <c r="G39" t="s">
        <v>191</v>
      </c>
      <c r="H39" t="s">
        <v>25</v>
      </c>
      <c r="I39" t="s">
        <v>26</v>
      </c>
      <c r="J39" s="8" t="s">
        <v>49</v>
      </c>
      <c r="K39" s="7">
        <v>45933</v>
      </c>
      <c r="L39" t="s">
        <v>28</v>
      </c>
    </row>
    <row r="40" spans="1:12" x14ac:dyDescent="0.25">
      <c r="A40" t="s">
        <v>192</v>
      </c>
      <c r="B40" t="s">
        <v>30</v>
      </c>
      <c r="C40" t="s">
        <v>193</v>
      </c>
      <c r="D40">
        <v>4</v>
      </c>
      <c r="E40">
        <v>2</v>
      </c>
      <c r="F40">
        <f t="shared" si="0"/>
        <v>8</v>
      </c>
      <c r="G40" t="s">
        <v>194</v>
      </c>
      <c r="H40" t="s">
        <v>18</v>
      </c>
      <c r="I40" t="s">
        <v>67</v>
      </c>
      <c r="J40" s="8" t="s">
        <v>171</v>
      </c>
      <c r="K40" s="7">
        <v>45780</v>
      </c>
      <c r="L40" t="s">
        <v>195</v>
      </c>
    </row>
    <row r="41" spans="1:12" x14ac:dyDescent="0.25">
      <c r="A41" t="s">
        <v>196</v>
      </c>
      <c r="B41" t="s">
        <v>37</v>
      </c>
      <c r="C41" t="s">
        <v>197</v>
      </c>
      <c r="D41">
        <v>5</v>
      </c>
      <c r="E41">
        <v>5</v>
      </c>
      <c r="F41">
        <f t="shared" si="0"/>
        <v>25</v>
      </c>
      <c r="G41" t="s">
        <v>198</v>
      </c>
      <c r="H41" t="s">
        <v>18</v>
      </c>
      <c r="I41" t="s">
        <v>41</v>
      </c>
      <c r="J41" s="8" t="s">
        <v>75</v>
      </c>
      <c r="K41" s="7" t="s">
        <v>123</v>
      </c>
      <c r="L41" t="s">
        <v>199</v>
      </c>
    </row>
    <row r="42" spans="1:12" x14ac:dyDescent="0.25">
      <c r="A42" t="s">
        <v>200</v>
      </c>
      <c r="B42" t="s">
        <v>44</v>
      </c>
      <c r="C42" t="s">
        <v>201</v>
      </c>
      <c r="D42">
        <v>2</v>
      </c>
      <c r="E42">
        <v>3</v>
      </c>
      <c r="F42">
        <f t="shared" si="0"/>
        <v>6</v>
      </c>
      <c r="G42" t="s">
        <v>202</v>
      </c>
      <c r="H42" t="s">
        <v>18</v>
      </c>
      <c r="I42" t="s">
        <v>33</v>
      </c>
      <c r="J42" s="8" t="s">
        <v>27</v>
      </c>
      <c r="K42" s="7">
        <v>45934</v>
      </c>
      <c r="L42" t="s">
        <v>203</v>
      </c>
    </row>
    <row r="43" spans="1:12" x14ac:dyDescent="0.25">
      <c r="A43" t="s">
        <v>204</v>
      </c>
      <c r="B43" t="s">
        <v>15</v>
      </c>
      <c r="C43" t="s">
        <v>205</v>
      </c>
      <c r="D43">
        <v>4</v>
      </c>
      <c r="E43">
        <v>5</v>
      </c>
      <c r="F43">
        <f t="shared" si="0"/>
        <v>20</v>
      </c>
      <c r="G43" t="s">
        <v>206</v>
      </c>
      <c r="H43" t="s">
        <v>18</v>
      </c>
      <c r="I43" t="s">
        <v>41</v>
      </c>
      <c r="J43" s="7">
        <v>45691</v>
      </c>
      <c r="K43" s="7" t="s">
        <v>207</v>
      </c>
      <c r="L43" t="s">
        <v>208</v>
      </c>
    </row>
    <row r="44" spans="1:12" x14ac:dyDescent="0.25">
      <c r="A44" t="s">
        <v>209</v>
      </c>
      <c r="B44" t="s">
        <v>22</v>
      </c>
      <c r="C44" t="s">
        <v>210</v>
      </c>
      <c r="D44">
        <v>3</v>
      </c>
      <c r="E44">
        <v>4</v>
      </c>
      <c r="F44">
        <f t="shared" si="0"/>
        <v>12</v>
      </c>
      <c r="G44" t="s">
        <v>211</v>
      </c>
      <c r="H44" t="s">
        <v>25</v>
      </c>
      <c r="I44" t="s">
        <v>60</v>
      </c>
      <c r="J44" s="7">
        <v>45780</v>
      </c>
      <c r="K44" s="7" t="s">
        <v>212</v>
      </c>
      <c r="L44" t="s">
        <v>213</v>
      </c>
    </row>
    <row r="45" spans="1:12" x14ac:dyDescent="0.25">
      <c r="A45" t="s">
        <v>214</v>
      </c>
      <c r="B45" t="s">
        <v>30</v>
      </c>
      <c r="C45" t="s">
        <v>215</v>
      </c>
      <c r="D45">
        <v>4</v>
      </c>
      <c r="E45">
        <v>3</v>
      </c>
      <c r="F45">
        <f t="shared" si="0"/>
        <v>12</v>
      </c>
      <c r="G45" t="s">
        <v>216</v>
      </c>
      <c r="H45" t="s">
        <v>18</v>
      </c>
      <c r="I45" t="s">
        <v>33</v>
      </c>
      <c r="J45" s="7">
        <v>45872</v>
      </c>
      <c r="K45" s="7" t="s">
        <v>132</v>
      </c>
      <c r="L45" t="s">
        <v>217</v>
      </c>
    </row>
    <row r="46" spans="1:12" x14ac:dyDescent="0.25">
      <c r="A46" t="s">
        <v>218</v>
      </c>
      <c r="B46" t="s">
        <v>37</v>
      </c>
      <c r="C46" t="s">
        <v>219</v>
      </c>
      <c r="D46">
        <v>5</v>
      </c>
      <c r="E46">
        <v>5</v>
      </c>
      <c r="F46">
        <f t="shared" si="0"/>
        <v>25</v>
      </c>
      <c r="G46" t="s">
        <v>220</v>
      </c>
      <c r="H46" t="s">
        <v>18</v>
      </c>
      <c r="I46" t="s">
        <v>19</v>
      </c>
      <c r="J46" s="7">
        <v>45933</v>
      </c>
      <c r="K46" s="7">
        <v>45661</v>
      </c>
      <c r="L46" t="s">
        <v>221</v>
      </c>
    </row>
    <row r="47" spans="1:12" x14ac:dyDescent="0.25">
      <c r="A47" t="s">
        <v>222</v>
      </c>
      <c r="B47" t="s">
        <v>44</v>
      </c>
      <c r="C47" t="s">
        <v>223</v>
      </c>
      <c r="D47">
        <v>4</v>
      </c>
      <c r="E47">
        <v>3</v>
      </c>
      <c r="F47">
        <f t="shared" si="0"/>
        <v>12</v>
      </c>
      <c r="G47" t="s">
        <v>224</v>
      </c>
      <c r="H47" t="s">
        <v>18</v>
      </c>
      <c r="I47" t="s">
        <v>33</v>
      </c>
      <c r="J47" s="7">
        <v>45994</v>
      </c>
      <c r="K47" s="7">
        <v>45781</v>
      </c>
      <c r="L47" t="s">
        <v>225</v>
      </c>
    </row>
    <row r="48" spans="1:12" x14ac:dyDescent="0.25">
      <c r="A48" t="s">
        <v>226</v>
      </c>
      <c r="B48" t="s">
        <v>15</v>
      </c>
      <c r="C48" t="s">
        <v>227</v>
      </c>
      <c r="D48">
        <v>3</v>
      </c>
      <c r="E48">
        <v>4</v>
      </c>
      <c r="F48">
        <f t="shared" si="0"/>
        <v>12</v>
      </c>
      <c r="G48" t="s">
        <v>228</v>
      </c>
      <c r="H48" t="s">
        <v>18</v>
      </c>
      <c r="I48" t="s">
        <v>41</v>
      </c>
      <c r="J48" s="8" t="s">
        <v>229</v>
      </c>
      <c r="K48" s="7">
        <v>45934</v>
      </c>
      <c r="L48" t="s">
        <v>230</v>
      </c>
    </row>
    <row r="49" spans="1:12" x14ac:dyDescent="0.25">
      <c r="A49" t="s">
        <v>231</v>
      </c>
      <c r="B49" t="s">
        <v>22</v>
      </c>
      <c r="C49" t="s">
        <v>232</v>
      </c>
      <c r="D49">
        <v>3</v>
      </c>
      <c r="E49">
        <v>3</v>
      </c>
      <c r="F49">
        <f t="shared" si="0"/>
        <v>9</v>
      </c>
      <c r="G49" t="s">
        <v>233</v>
      </c>
      <c r="H49" t="s">
        <v>25</v>
      </c>
      <c r="I49" t="s">
        <v>60</v>
      </c>
      <c r="J49" s="8" t="s">
        <v>234</v>
      </c>
      <c r="K49" s="7" t="s">
        <v>132</v>
      </c>
      <c r="L49" t="s">
        <v>235</v>
      </c>
    </row>
    <row r="50" spans="1:12" x14ac:dyDescent="0.25">
      <c r="A50" t="s">
        <v>236</v>
      </c>
      <c r="B50" t="s">
        <v>30</v>
      </c>
      <c r="C50" t="s">
        <v>237</v>
      </c>
      <c r="D50">
        <v>2</v>
      </c>
      <c r="E50">
        <v>3</v>
      </c>
      <c r="F50">
        <f t="shared" si="0"/>
        <v>6</v>
      </c>
      <c r="G50" t="s">
        <v>238</v>
      </c>
      <c r="H50" t="s">
        <v>18</v>
      </c>
      <c r="I50" t="s">
        <v>67</v>
      </c>
      <c r="J50" s="8" t="s">
        <v>239</v>
      </c>
      <c r="K50" s="7">
        <v>45781</v>
      </c>
      <c r="L50" t="s">
        <v>115</v>
      </c>
    </row>
    <row r="51" spans="1:12" x14ac:dyDescent="0.25">
      <c r="A51" t="s">
        <v>240</v>
      </c>
      <c r="B51" t="s">
        <v>37</v>
      </c>
      <c r="C51" t="s">
        <v>241</v>
      </c>
      <c r="D51">
        <v>5</v>
      </c>
      <c r="E51">
        <v>5</v>
      </c>
      <c r="F51">
        <f t="shared" si="0"/>
        <v>25</v>
      </c>
      <c r="G51" t="s">
        <v>242</v>
      </c>
      <c r="H51" t="s">
        <v>18</v>
      </c>
      <c r="I51" t="s">
        <v>19</v>
      </c>
      <c r="J51" s="7" t="s">
        <v>207</v>
      </c>
      <c r="K51" s="7">
        <v>45934</v>
      </c>
      <c r="L51" t="s">
        <v>243</v>
      </c>
    </row>
    <row r="52" spans="1:12" x14ac:dyDescent="0.25">
      <c r="A52" t="s">
        <v>244</v>
      </c>
      <c r="B52" t="s">
        <v>44</v>
      </c>
      <c r="C52" t="s">
        <v>245</v>
      </c>
      <c r="D52">
        <v>4</v>
      </c>
      <c r="E52">
        <v>3</v>
      </c>
      <c r="F52">
        <f t="shared" si="0"/>
        <v>12</v>
      </c>
      <c r="G52" t="s">
        <v>246</v>
      </c>
      <c r="H52" t="s">
        <v>18</v>
      </c>
      <c r="I52" t="s">
        <v>47</v>
      </c>
      <c r="J52" s="7" t="s">
        <v>247</v>
      </c>
      <c r="K52" s="7" t="s">
        <v>248</v>
      </c>
      <c r="L52" t="s">
        <v>249</v>
      </c>
    </row>
  </sheetData>
  <mergeCells count="1">
    <mergeCell ref="A1:L1"/>
  </mergeCells>
  <phoneticPr fontId="4" type="noConversion"/>
  <conditionalFormatting sqref="F1:F1048576">
    <cfRule type="colorScale" priority="1">
      <colorScale>
        <cfvo type="num" val="0"/>
        <cfvo type="num" val="12"/>
        <cfvo type="num" val="25"/>
        <color rgb="FF00B050"/>
        <color rgb="FFFFFF00"/>
        <color rgb="FFFF0000"/>
      </colorScale>
    </cfRule>
  </conditionalFormatting>
  <dataValidations count="2">
    <dataValidation type="list" allowBlank="1" showInputMessage="1" showErrorMessage="1" sqref="B3:B52" xr:uid="{DC550760-24FD-493C-A621-B21E60AA26EE}">
      <formula1>"Cybersecurity,Data Breach,Compliance,Operational,Infrastructure"</formula1>
    </dataValidation>
    <dataValidation type="list" allowBlank="1" showInputMessage="1" showErrorMessage="1" sqref="H3:H52" xr:uid="{1DF6C19F-7BE2-4149-92CA-59CB101B3F74}">
      <formula1>"Open,In Progress,Mitigated,Closed"</formula1>
    </dataValidation>
  </dataValidations>
  <pageMargins left="0.70000000000000007" right="0.70000000000000007" top="0.75" bottom="0.75" header="0.30000000000000004" footer="0.30000000000000004"/>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FE056-E9F7-44E5-8970-251960E80FE0}">
  <sheetPr codeName="Sheet2"/>
  <dimension ref="A3:V30"/>
  <sheetViews>
    <sheetView zoomScale="85" zoomScaleNormal="85" workbookViewId="0">
      <selection activeCell="N45" sqref="N45"/>
    </sheetView>
  </sheetViews>
  <sheetFormatPr defaultColWidth="16.44140625" defaultRowHeight="13.8" x14ac:dyDescent="0.25"/>
  <cols>
    <col min="1" max="1" width="14.109375" bestFit="1" customWidth="1"/>
    <col min="2" max="2" width="12.33203125" bestFit="1" customWidth="1"/>
    <col min="3" max="3" width="26.5546875" bestFit="1" customWidth="1"/>
    <col min="4" max="4" width="16.33203125" style="9" bestFit="1" customWidth="1"/>
    <col min="7" max="7" width="16.6640625" bestFit="1" customWidth="1"/>
    <col min="8" max="8" width="12.33203125" bestFit="1" customWidth="1"/>
    <col min="9" max="9" width="29.33203125" bestFit="1" customWidth="1"/>
    <col min="10" max="10" width="16.33203125" bestFit="1" customWidth="1"/>
    <col min="13" max="13" width="14.109375" bestFit="1" customWidth="1"/>
    <col min="14" max="14" width="12.33203125" bestFit="1" customWidth="1"/>
    <col min="15" max="15" width="26.5546875" bestFit="1" customWidth="1"/>
    <col min="16" max="16" width="16.33203125" bestFit="1" customWidth="1"/>
    <col min="19" max="19" width="14.109375" bestFit="1" customWidth="1"/>
    <col min="20" max="20" width="12.33203125" bestFit="1" customWidth="1"/>
    <col min="21" max="21" width="26.5546875" bestFit="1" customWidth="1"/>
    <col min="22" max="22" width="16.33203125" bestFit="1" customWidth="1"/>
  </cols>
  <sheetData>
    <row r="3" spans="1:22" x14ac:dyDescent="0.25">
      <c r="A3" s="29" t="s">
        <v>3</v>
      </c>
      <c r="B3" s="29" t="s">
        <v>9</v>
      </c>
      <c r="C3" s="29" t="s">
        <v>10</v>
      </c>
      <c r="D3" s="28" t="s">
        <v>250</v>
      </c>
      <c r="G3" s="29" t="s">
        <v>3</v>
      </c>
      <c r="H3" s="29" t="s">
        <v>9</v>
      </c>
      <c r="I3" s="29" t="s">
        <v>10</v>
      </c>
      <c r="J3" s="28" t="s">
        <v>250</v>
      </c>
      <c r="M3" s="29" t="s">
        <v>3</v>
      </c>
      <c r="N3" s="29" t="s">
        <v>9</v>
      </c>
      <c r="O3" s="29" t="s">
        <v>10</v>
      </c>
      <c r="P3" s="28" t="s">
        <v>250</v>
      </c>
      <c r="S3" s="29" t="s">
        <v>3</v>
      </c>
      <c r="T3" s="29" t="s">
        <v>9</v>
      </c>
      <c r="U3" s="29" t="s">
        <v>10</v>
      </c>
      <c r="V3" s="28" t="s">
        <v>250</v>
      </c>
    </row>
    <row r="4" spans="1:22" x14ac:dyDescent="0.25">
      <c r="A4" s="20" t="s">
        <v>22</v>
      </c>
      <c r="B4" s="20" t="s">
        <v>59</v>
      </c>
      <c r="C4" s="20" t="s">
        <v>60</v>
      </c>
      <c r="D4" s="25">
        <v>12</v>
      </c>
      <c r="G4" s="20" t="s">
        <v>22</v>
      </c>
      <c r="H4" s="20" t="s">
        <v>59</v>
      </c>
      <c r="I4" s="20" t="s">
        <v>60</v>
      </c>
      <c r="J4" s="25">
        <v>12</v>
      </c>
      <c r="M4" s="20" t="s">
        <v>22</v>
      </c>
      <c r="N4" s="20" t="s">
        <v>59</v>
      </c>
      <c r="O4" s="20" t="s">
        <v>60</v>
      </c>
      <c r="P4" s="25">
        <v>12</v>
      </c>
      <c r="S4" s="20" t="s">
        <v>22</v>
      </c>
      <c r="T4" s="20" t="s">
        <v>59</v>
      </c>
      <c r="U4" s="20" t="s">
        <v>60</v>
      </c>
      <c r="V4" s="25">
        <v>12</v>
      </c>
    </row>
    <row r="5" spans="1:22" x14ac:dyDescent="0.25">
      <c r="A5" s="21" t="s">
        <v>22</v>
      </c>
      <c r="B5" s="20" t="s">
        <v>25</v>
      </c>
      <c r="C5" s="20" t="s">
        <v>26</v>
      </c>
      <c r="D5" s="25">
        <v>39</v>
      </c>
      <c r="G5" s="21" t="s">
        <v>22</v>
      </c>
      <c r="H5" s="20" t="s">
        <v>25</v>
      </c>
      <c r="I5" s="20" t="s">
        <v>26</v>
      </c>
      <c r="J5" s="25">
        <v>39</v>
      </c>
      <c r="M5" s="21" t="s">
        <v>22</v>
      </c>
      <c r="N5" s="20" t="s">
        <v>25</v>
      </c>
      <c r="O5" s="20" t="s">
        <v>26</v>
      </c>
      <c r="P5" s="25">
        <v>39</v>
      </c>
      <c r="S5" s="21" t="s">
        <v>22</v>
      </c>
      <c r="T5" s="20" t="s">
        <v>25</v>
      </c>
      <c r="U5" s="20" t="s">
        <v>26</v>
      </c>
      <c r="V5" s="25">
        <v>39</v>
      </c>
    </row>
    <row r="6" spans="1:22" x14ac:dyDescent="0.25">
      <c r="A6" s="21" t="s">
        <v>22</v>
      </c>
      <c r="B6" s="21" t="s">
        <v>25</v>
      </c>
      <c r="C6" s="22" t="s">
        <v>60</v>
      </c>
      <c r="D6" s="26">
        <v>27</v>
      </c>
      <c r="G6" s="21" t="s">
        <v>22</v>
      </c>
      <c r="H6" s="21" t="s">
        <v>25</v>
      </c>
      <c r="I6" s="22" t="s">
        <v>60</v>
      </c>
      <c r="J6" s="26">
        <v>27</v>
      </c>
      <c r="M6" s="21" t="s">
        <v>22</v>
      </c>
      <c r="N6" s="21" t="s">
        <v>25</v>
      </c>
      <c r="O6" s="22" t="s">
        <v>60</v>
      </c>
      <c r="P6" s="26">
        <v>27</v>
      </c>
      <c r="S6" s="21" t="s">
        <v>22</v>
      </c>
      <c r="T6" s="21" t="s">
        <v>25</v>
      </c>
      <c r="U6" s="22" t="s">
        <v>60</v>
      </c>
      <c r="V6" s="26">
        <v>27</v>
      </c>
    </row>
    <row r="7" spans="1:22" x14ac:dyDescent="0.25">
      <c r="A7" s="21" t="s">
        <v>22</v>
      </c>
      <c r="B7" s="20" t="s">
        <v>18</v>
      </c>
      <c r="C7" s="20" t="s">
        <v>26</v>
      </c>
      <c r="D7" s="25">
        <v>9</v>
      </c>
      <c r="G7" s="21" t="s">
        <v>22</v>
      </c>
      <c r="H7" s="20" t="s">
        <v>18</v>
      </c>
      <c r="I7" s="20" t="s">
        <v>26</v>
      </c>
      <c r="J7" s="25">
        <v>9</v>
      </c>
      <c r="M7" s="21" t="s">
        <v>22</v>
      </c>
      <c r="N7" s="20" t="s">
        <v>18</v>
      </c>
      <c r="O7" s="20" t="s">
        <v>26</v>
      </c>
      <c r="P7" s="25">
        <v>9</v>
      </c>
      <c r="S7" s="21" t="s">
        <v>22</v>
      </c>
      <c r="T7" s="20" t="s">
        <v>18</v>
      </c>
      <c r="U7" s="20" t="s">
        <v>26</v>
      </c>
      <c r="V7" s="25">
        <v>9</v>
      </c>
    </row>
    <row r="8" spans="1:22" x14ac:dyDescent="0.25">
      <c r="A8" s="21" t="s">
        <v>22</v>
      </c>
      <c r="B8" s="21" t="s">
        <v>18</v>
      </c>
      <c r="C8" s="22" t="s">
        <v>60</v>
      </c>
      <c r="D8" s="26">
        <v>6</v>
      </c>
      <c r="G8" s="21" t="s">
        <v>22</v>
      </c>
      <c r="H8" s="21" t="s">
        <v>18</v>
      </c>
      <c r="I8" s="22" t="s">
        <v>60</v>
      </c>
      <c r="J8" s="26">
        <v>6</v>
      </c>
      <c r="M8" s="21" t="s">
        <v>22</v>
      </c>
      <c r="N8" s="21" t="s">
        <v>18</v>
      </c>
      <c r="O8" s="22" t="s">
        <v>60</v>
      </c>
      <c r="P8" s="26">
        <v>6</v>
      </c>
      <c r="S8" s="21" t="s">
        <v>22</v>
      </c>
      <c r="T8" s="21" t="s">
        <v>18</v>
      </c>
      <c r="U8" s="22" t="s">
        <v>60</v>
      </c>
      <c r="V8" s="26">
        <v>6</v>
      </c>
    </row>
    <row r="9" spans="1:22" x14ac:dyDescent="0.25">
      <c r="A9" s="20" t="s">
        <v>15</v>
      </c>
      <c r="B9" s="20" t="s">
        <v>25</v>
      </c>
      <c r="C9" s="20" t="s">
        <v>19</v>
      </c>
      <c r="D9" s="25">
        <v>40</v>
      </c>
      <c r="G9" s="20" t="s">
        <v>15</v>
      </c>
      <c r="H9" s="20" t="s">
        <v>25</v>
      </c>
      <c r="I9" s="20" t="s">
        <v>19</v>
      </c>
      <c r="J9" s="25">
        <v>40</v>
      </c>
      <c r="M9" s="20" t="s">
        <v>15</v>
      </c>
      <c r="N9" s="20" t="s">
        <v>25</v>
      </c>
      <c r="O9" s="20" t="s">
        <v>19</v>
      </c>
      <c r="P9" s="25">
        <v>40</v>
      </c>
      <c r="S9" s="20" t="s">
        <v>15</v>
      </c>
      <c r="T9" s="20" t="s">
        <v>25</v>
      </c>
      <c r="U9" s="20" t="s">
        <v>19</v>
      </c>
      <c r="V9" s="25">
        <v>40</v>
      </c>
    </row>
    <row r="10" spans="1:22" x14ac:dyDescent="0.25">
      <c r="A10" s="21" t="s">
        <v>15</v>
      </c>
      <c r="B10" s="20" t="s">
        <v>40</v>
      </c>
      <c r="C10" s="20" t="s">
        <v>19</v>
      </c>
      <c r="D10" s="25">
        <v>6</v>
      </c>
      <c r="G10" s="21" t="s">
        <v>15</v>
      </c>
      <c r="H10" s="20" t="s">
        <v>40</v>
      </c>
      <c r="I10" s="20" t="s">
        <v>19</v>
      </c>
      <c r="J10" s="25">
        <v>6</v>
      </c>
      <c r="M10" s="21" t="s">
        <v>15</v>
      </c>
      <c r="N10" s="20" t="s">
        <v>40</v>
      </c>
      <c r="O10" s="20" t="s">
        <v>19</v>
      </c>
      <c r="P10" s="25">
        <v>6</v>
      </c>
      <c r="S10" s="21" t="s">
        <v>15</v>
      </c>
      <c r="T10" s="20" t="s">
        <v>40</v>
      </c>
      <c r="U10" s="20" t="s">
        <v>19</v>
      </c>
      <c r="V10" s="25">
        <v>6</v>
      </c>
    </row>
    <row r="11" spans="1:22" x14ac:dyDescent="0.25">
      <c r="A11" s="21" t="s">
        <v>15</v>
      </c>
      <c r="B11" s="20" t="s">
        <v>18</v>
      </c>
      <c r="C11" s="20" t="s">
        <v>19</v>
      </c>
      <c r="D11" s="25">
        <v>72</v>
      </c>
      <c r="G11" s="21" t="s">
        <v>15</v>
      </c>
      <c r="H11" s="20" t="s">
        <v>18</v>
      </c>
      <c r="I11" s="20" t="s">
        <v>19</v>
      </c>
      <c r="J11" s="25">
        <v>72</v>
      </c>
      <c r="M11" s="21" t="s">
        <v>15</v>
      </c>
      <c r="N11" s="20" t="s">
        <v>18</v>
      </c>
      <c r="O11" s="20" t="s">
        <v>19</v>
      </c>
      <c r="P11" s="25">
        <v>72</v>
      </c>
      <c r="S11" s="21" t="s">
        <v>15</v>
      </c>
      <c r="T11" s="20" t="s">
        <v>18</v>
      </c>
      <c r="U11" s="20" t="s">
        <v>19</v>
      </c>
      <c r="V11" s="25">
        <v>72</v>
      </c>
    </row>
    <row r="12" spans="1:22" x14ac:dyDescent="0.25">
      <c r="A12" s="21" t="s">
        <v>15</v>
      </c>
      <c r="B12" s="21" t="s">
        <v>18</v>
      </c>
      <c r="C12" s="22" t="s">
        <v>41</v>
      </c>
      <c r="D12" s="26">
        <v>32</v>
      </c>
      <c r="G12" s="21" t="s">
        <v>15</v>
      </c>
      <c r="H12" s="21" t="s">
        <v>18</v>
      </c>
      <c r="I12" s="22" t="s">
        <v>41</v>
      </c>
      <c r="J12" s="26">
        <v>32</v>
      </c>
      <c r="M12" s="21" t="s">
        <v>15</v>
      </c>
      <c r="N12" s="21" t="s">
        <v>18</v>
      </c>
      <c r="O12" s="22" t="s">
        <v>41</v>
      </c>
      <c r="P12" s="26">
        <v>32</v>
      </c>
      <c r="S12" s="21" t="s">
        <v>15</v>
      </c>
      <c r="T12" s="21" t="s">
        <v>18</v>
      </c>
      <c r="U12" s="22" t="s">
        <v>41</v>
      </c>
      <c r="V12" s="26">
        <v>32</v>
      </c>
    </row>
    <row r="13" spans="1:22" x14ac:dyDescent="0.25">
      <c r="A13" s="20" t="s">
        <v>37</v>
      </c>
      <c r="B13" s="20" t="s">
        <v>25</v>
      </c>
      <c r="C13" s="20" t="s">
        <v>74</v>
      </c>
      <c r="D13" s="25">
        <v>20</v>
      </c>
      <c r="G13" s="20" t="s">
        <v>37</v>
      </c>
      <c r="H13" s="20" t="s">
        <v>25</v>
      </c>
      <c r="I13" s="20" t="s">
        <v>74</v>
      </c>
      <c r="J13" s="25">
        <v>20</v>
      </c>
      <c r="M13" s="20" t="s">
        <v>37</v>
      </c>
      <c r="N13" s="20" t="s">
        <v>25</v>
      </c>
      <c r="O13" s="20" t="s">
        <v>74</v>
      </c>
      <c r="P13" s="25">
        <v>20</v>
      </c>
      <c r="S13" s="20" t="s">
        <v>37</v>
      </c>
      <c r="T13" s="20" t="s">
        <v>25</v>
      </c>
      <c r="U13" s="20" t="s">
        <v>74</v>
      </c>
      <c r="V13" s="25">
        <v>20</v>
      </c>
    </row>
    <row r="14" spans="1:22" x14ac:dyDescent="0.25">
      <c r="A14" s="21" t="s">
        <v>37</v>
      </c>
      <c r="B14" s="20" t="s">
        <v>40</v>
      </c>
      <c r="C14" s="20" t="s">
        <v>41</v>
      </c>
      <c r="D14" s="25">
        <v>10</v>
      </c>
      <c r="G14" s="21" t="s">
        <v>37</v>
      </c>
      <c r="H14" s="20" t="s">
        <v>40</v>
      </c>
      <c r="I14" s="20" t="s">
        <v>41</v>
      </c>
      <c r="J14" s="25">
        <v>10</v>
      </c>
      <c r="M14" s="21" t="s">
        <v>37</v>
      </c>
      <c r="N14" s="20" t="s">
        <v>40</v>
      </c>
      <c r="O14" s="20" t="s">
        <v>41</v>
      </c>
      <c r="P14" s="25">
        <v>10</v>
      </c>
      <c r="S14" s="21" t="s">
        <v>37</v>
      </c>
      <c r="T14" s="20" t="s">
        <v>40</v>
      </c>
      <c r="U14" s="20" t="s">
        <v>41</v>
      </c>
      <c r="V14" s="25">
        <v>10</v>
      </c>
    </row>
    <row r="15" spans="1:22" x14ac:dyDescent="0.25">
      <c r="A15" s="21" t="s">
        <v>37</v>
      </c>
      <c r="B15" s="20" t="s">
        <v>18</v>
      </c>
      <c r="C15" s="20" t="s">
        <v>19</v>
      </c>
      <c r="D15" s="25">
        <v>115</v>
      </c>
      <c r="G15" s="21" t="s">
        <v>37</v>
      </c>
      <c r="H15" s="20" t="s">
        <v>18</v>
      </c>
      <c r="I15" s="20" t="s">
        <v>19</v>
      </c>
      <c r="J15" s="25">
        <v>115</v>
      </c>
      <c r="M15" s="21" t="s">
        <v>37</v>
      </c>
      <c r="N15" s="20" t="s">
        <v>18</v>
      </c>
      <c r="O15" s="20" t="s">
        <v>19</v>
      </c>
      <c r="P15" s="25">
        <v>115</v>
      </c>
      <c r="S15" s="21" t="s">
        <v>37</v>
      </c>
      <c r="T15" s="20" t="s">
        <v>18</v>
      </c>
      <c r="U15" s="20" t="s">
        <v>19</v>
      </c>
      <c r="V15" s="25">
        <v>115</v>
      </c>
    </row>
    <row r="16" spans="1:22" x14ac:dyDescent="0.25">
      <c r="A16" s="21" t="s">
        <v>37</v>
      </c>
      <c r="B16" s="21" t="s">
        <v>18</v>
      </c>
      <c r="C16" s="22" t="s">
        <v>41</v>
      </c>
      <c r="D16" s="26">
        <v>45</v>
      </c>
      <c r="G16" s="21" t="s">
        <v>37</v>
      </c>
      <c r="H16" s="21" t="s">
        <v>18</v>
      </c>
      <c r="I16" s="22" t="s">
        <v>41</v>
      </c>
      <c r="J16" s="26">
        <v>45</v>
      </c>
      <c r="M16" s="21" t="s">
        <v>37</v>
      </c>
      <c r="N16" s="21" t="s">
        <v>18</v>
      </c>
      <c r="O16" s="22" t="s">
        <v>41</v>
      </c>
      <c r="P16" s="26">
        <v>45</v>
      </c>
      <c r="S16" s="21" t="s">
        <v>37</v>
      </c>
      <c r="T16" s="21" t="s">
        <v>18</v>
      </c>
      <c r="U16" s="22" t="s">
        <v>41</v>
      </c>
      <c r="V16" s="26">
        <v>45</v>
      </c>
    </row>
    <row r="17" spans="1:22" x14ac:dyDescent="0.25">
      <c r="A17" s="21" t="s">
        <v>37</v>
      </c>
      <c r="B17" s="21" t="s">
        <v>18</v>
      </c>
      <c r="C17" s="22" t="s">
        <v>74</v>
      </c>
      <c r="D17" s="26">
        <v>25</v>
      </c>
      <c r="G17" s="21" t="s">
        <v>37</v>
      </c>
      <c r="H17" s="21" t="s">
        <v>18</v>
      </c>
      <c r="I17" s="22" t="s">
        <v>74</v>
      </c>
      <c r="J17" s="26">
        <v>25</v>
      </c>
      <c r="M17" s="21" t="s">
        <v>37</v>
      </c>
      <c r="N17" s="21" t="s">
        <v>18</v>
      </c>
      <c r="O17" s="22" t="s">
        <v>74</v>
      </c>
      <c r="P17" s="26">
        <v>25</v>
      </c>
      <c r="S17" s="21" t="s">
        <v>37</v>
      </c>
      <c r="T17" s="21" t="s">
        <v>18</v>
      </c>
      <c r="U17" s="22" t="s">
        <v>74</v>
      </c>
      <c r="V17" s="26">
        <v>25</v>
      </c>
    </row>
    <row r="18" spans="1:22" x14ac:dyDescent="0.25">
      <c r="A18" s="20" t="s">
        <v>44</v>
      </c>
      <c r="B18" s="20" t="s">
        <v>40</v>
      </c>
      <c r="C18" s="20" t="s">
        <v>47</v>
      </c>
      <c r="D18" s="25">
        <v>15</v>
      </c>
      <c r="G18" s="20" t="s">
        <v>44</v>
      </c>
      <c r="H18" s="20" t="s">
        <v>40</v>
      </c>
      <c r="I18" s="20" t="s">
        <v>47</v>
      </c>
      <c r="J18" s="25">
        <v>15</v>
      </c>
      <c r="M18" s="20" t="s">
        <v>44</v>
      </c>
      <c r="N18" s="20" t="s">
        <v>40</v>
      </c>
      <c r="O18" s="20" t="s">
        <v>47</v>
      </c>
      <c r="P18" s="25">
        <v>15</v>
      </c>
      <c r="S18" s="20" t="s">
        <v>44</v>
      </c>
      <c r="T18" s="20" t="s">
        <v>40</v>
      </c>
      <c r="U18" s="20" t="s">
        <v>47</v>
      </c>
      <c r="V18" s="25">
        <v>15</v>
      </c>
    </row>
    <row r="19" spans="1:22" x14ac:dyDescent="0.25">
      <c r="A19" s="21" t="s">
        <v>44</v>
      </c>
      <c r="B19" s="20" t="s">
        <v>18</v>
      </c>
      <c r="C19" s="20" t="s">
        <v>80</v>
      </c>
      <c r="D19" s="25">
        <v>45</v>
      </c>
      <c r="G19" s="21" t="s">
        <v>44</v>
      </c>
      <c r="H19" s="20" t="s">
        <v>18</v>
      </c>
      <c r="I19" s="20" t="s">
        <v>80</v>
      </c>
      <c r="J19" s="25">
        <v>45</v>
      </c>
      <c r="M19" s="21" t="s">
        <v>44</v>
      </c>
      <c r="N19" s="20" t="s">
        <v>18</v>
      </c>
      <c r="O19" s="20" t="s">
        <v>80</v>
      </c>
      <c r="P19" s="25">
        <v>45</v>
      </c>
      <c r="S19" s="21" t="s">
        <v>44</v>
      </c>
      <c r="T19" s="20" t="s">
        <v>18</v>
      </c>
      <c r="U19" s="20" t="s">
        <v>80</v>
      </c>
      <c r="V19" s="25">
        <v>45</v>
      </c>
    </row>
    <row r="20" spans="1:22" x14ac:dyDescent="0.25">
      <c r="A20" s="21" t="s">
        <v>44</v>
      </c>
      <c r="B20" s="21" t="s">
        <v>18</v>
      </c>
      <c r="C20" s="22" t="s">
        <v>33</v>
      </c>
      <c r="D20" s="26">
        <v>30</v>
      </c>
      <c r="G20" s="21" t="s">
        <v>44</v>
      </c>
      <c r="H20" s="21" t="s">
        <v>18</v>
      </c>
      <c r="I20" s="22" t="s">
        <v>33</v>
      </c>
      <c r="J20" s="26">
        <v>30</v>
      </c>
      <c r="M20" s="21" t="s">
        <v>44</v>
      </c>
      <c r="N20" s="21" t="s">
        <v>18</v>
      </c>
      <c r="O20" s="22" t="s">
        <v>33</v>
      </c>
      <c r="P20" s="26">
        <v>30</v>
      </c>
      <c r="S20" s="21" t="s">
        <v>44</v>
      </c>
      <c r="T20" s="21" t="s">
        <v>18</v>
      </c>
      <c r="U20" s="22" t="s">
        <v>33</v>
      </c>
      <c r="V20" s="26">
        <v>30</v>
      </c>
    </row>
    <row r="21" spans="1:22" x14ac:dyDescent="0.25">
      <c r="A21" s="21" t="s">
        <v>44</v>
      </c>
      <c r="B21" s="21" t="s">
        <v>18</v>
      </c>
      <c r="C21" s="22" t="s">
        <v>47</v>
      </c>
      <c r="D21" s="26">
        <v>60</v>
      </c>
      <c r="G21" s="21" t="s">
        <v>44</v>
      </c>
      <c r="H21" s="21" t="s">
        <v>18</v>
      </c>
      <c r="I21" s="22" t="s">
        <v>47</v>
      </c>
      <c r="J21" s="26">
        <v>60</v>
      </c>
      <c r="M21" s="21" t="s">
        <v>44</v>
      </c>
      <c r="N21" s="21" t="s">
        <v>18</v>
      </c>
      <c r="O21" s="22" t="s">
        <v>47</v>
      </c>
      <c r="P21" s="26">
        <v>60</v>
      </c>
      <c r="S21" s="21" t="s">
        <v>44</v>
      </c>
      <c r="T21" s="21" t="s">
        <v>18</v>
      </c>
      <c r="U21" s="22" t="s">
        <v>47</v>
      </c>
      <c r="V21" s="26">
        <v>60</v>
      </c>
    </row>
    <row r="22" spans="1:22" x14ac:dyDescent="0.25">
      <c r="A22" s="20" t="s">
        <v>30</v>
      </c>
      <c r="B22" s="20" t="s">
        <v>25</v>
      </c>
      <c r="C22" s="20" t="s">
        <v>67</v>
      </c>
      <c r="D22" s="25">
        <v>6</v>
      </c>
      <c r="G22" s="20" t="s">
        <v>30</v>
      </c>
      <c r="H22" s="20" t="s">
        <v>25</v>
      </c>
      <c r="I22" s="20" t="s">
        <v>67</v>
      </c>
      <c r="J22" s="25">
        <v>6</v>
      </c>
      <c r="M22" s="20" t="s">
        <v>30</v>
      </c>
      <c r="N22" s="20" t="s">
        <v>25</v>
      </c>
      <c r="O22" s="20" t="s">
        <v>67</v>
      </c>
      <c r="P22" s="25">
        <v>6</v>
      </c>
      <c r="S22" s="20" t="s">
        <v>30</v>
      </c>
      <c r="T22" s="20" t="s">
        <v>25</v>
      </c>
      <c r="U22" s="20" t="s">
        <v>67</v>
      </c>
      <c r="V22" s="25">
        <v>6</v>
      </c>
    </row>
    <row r="23" spans="1:22" x14ac:dyDescent="0.25">
      <c r="A23" s="21" t="s">
        <v>30</v>
      </c>
      <c r="B23" s="20" t="s">
        <v>40</v>
      </c>
      <c r="C23" s="20" t="s">
        <v>67</v>
      </c>
      <c r="D23" s="25">
        <v>6</v>
      </c>
      <c r="G23" s="21" t="s">
        <v>30</v>
      </c>
      <c r="H23" s="20" t="s">
        <v>40</v>
      </c>
      <c r="I23" s="20" t="s">
        <v>67</v>
      </c>
      <c r="J23" s="25">
        <v>6</v>
      </c>
      <c r="M23" s="21" t="s">
        <v>30</v>
      </c>
      <c r="N23" s="20" t="s">
        <v>40</v>
      </c>
      <c r="O23" s="20" t="s">
        <v>67</v>
      </c>
      <c r="P23" s="25">
        <v>6</v>
      </c>
      <c r="S23" s="21" t="s">
        <v>30</v>
      </c>
      <c r="T23" s="20" t="s">
        <v>40</v>
      </c>
      <c r="U23" s="20" t="s">
        <v>67</v>
      </c>
      <c r="V23" s="25">
        <v>6</v>
      </c>
    </row>
    <row r="24" spans="1:22" x14ac:dyDescent="0.25">
      <c r="A24" s="21" t="s">
        <v>30</v>
      </c>
      <c r="B24" s="20" t="s">
        <v>18</v>
      </c>
      <c r="C24" s="20" t="s">
        <v>33</v>
      </c>
      <c r="D24" s="25">
        <v>44</v>
      </c>
      <c r="G24" s="21" t="s">
        <v>30</v>
      </c>
      <c r="H24" s="20" t="s">
        <v>18</v>
      </c>
      <c r="I24" s="20" t="s">
        <v>33</v>
      </c>
      <c r="J24" s="25">
        <v>44</v>
      </c>
      <c r="M24" s="21" t="s">
        <v>30</v>
      </c>
      <c r="N24" s="20" t="s">
        <v>18</v>
      </c>
      <c r="O24" s="20" t="s">
        <v>33</v>
      </c>
      <c r="P24" s="25">
        <v>44</v>
      </c>
      <c r="S24" s="21" t="s">
        <v>30</v>
      </c>
      <c r="T24" s="20" t="s">
        <v>18</v>
      </c>
      <c r="U24" s="20" t="s">
        <v>33</v>
      </c>
      <c r="V24" s="25">
        <v>44</v>
      </c>
    </row>
    <row r="25" spans="1:22" x14ac:dyDescent="0.25">
      <c r="A25" s="21" t="s">
        <v>30</v>
      </c>
      <c r="B25" s="21" t="s">
        <v>18</v>
      </c>
      <c r="C25" s="22" t="s">
        <v>67</v>
      </c>
      <c r="D25" s="26">
        <v>26</v>
      </c>
      <c r="G25" s="21" t="s">
        <v>30</v>
      </c>
      <c r="H25" s="21" t="s">
        <v>18</v>
      </c>
      <c r="I25" s="22" t="s">
        <v>67</v>
      </c>
      <c r="J25" s="26">
        <v>26</v>
      </c>
      <c r="M25" s="21" t="s">
        <v>30</v>
      </c>
      <c r="N25" s="21" t="s">
        <v>18</v>
      </c>
      <c r="O25" s="22" t="s">
        <v>67</v>
      </c>
      <c r="P25" s="26">
        <v>26</v>
      </c>
      <c r="S25" s="21" t="s">
        <v>30</v>
      </c>
      <c r="T25" s="21" t="s">
        <v>18</v>
      </c>
      <c r="U25" s="22" t="s">
        <v>67</v>
      </c>
      <c r="V25" s="26">
        <v>26</v>
      </c>
    </row>
    <row r="26" spans="1:22" x14ac:dyDescent="0.25">
      <c r="A26" s="21" t="s">
        <v>30</v>
      </c>
      <c r="B26" s="21" t="s">
        <v>18</v>
      </c>
      <c r="C26" s="22" t="s">
        <v>47</v>
      </c>
      <c r="D26" s="26">
        <v>8</v>
      </c>
      <c r="G26" s="21" t="s">
        <v>30</v>
      </c>
      <c r="H26" s="21" t="s">
        <v>18</v>
      </c>
      <c r="I26" s="22" t="s">
        <v>47</v>
      </c>
      <c r="J26" s="26">
        <v>8</v>
      </c>
      <c r="M26" s="21" t="s">
        <v>30</v>
      </c>
      <c r="N26" s="21" t="s">
        <v>18</v>
      </c>
      <c r="O26" s="22" t="s">
        <v>47</v>
      </c>
      <c r="P26" s="26">
        <v>8</v>
      </c>
      <c r="S26" s="21" t="s">
        <v>30</v>
      </c>
      <c r="T26" s="21" t="s">
        <v>18</v>
      </c>
      <c r="U26" s="22" t="s">
        <v>47</v>
      </c>
      <c r="V26" s="26">
        <v>8</v>
      </c>
    </row>
    <row r="27" spans="1:22" x14ac:dyDescent="0.25">
      <c r="A27" s="23" t="s">
        <v>251</v>
      </c>
      <c r="B27" s="24"/>
      <c r="C27" s="24"/>
      <c r="D27" s="27">
        <v>698</v>
      </c>
      <c r="G27" s="23" t="s">
        <v>251</v>
      </c>
      <c r="H27" s="24"/>
      <c r="I27" s="24"/>
      <c r="J27" s="27">
        <v>698</v>
      </c>
      <c r="M27" s="23" t="s">
        <v>251</v>
      </c>
      <c r="N27" s="24"/>
      <c r="O27" s="24"/>
      <c r="P27" s="27">
        <v>698</v>
      </c>
      <c r="S27" s="23" t="s">
        <v>251</v>
      </c>
      <c r="T27" s="24"/>
      <c r="U27" s="24"/>
      <c r="V27" s="27">
        <v>698</v>
      </c>
    </row>
    <row r="28" spans="1:22" x14ac:dyDescent="0.25">
      <c r="D28"/>
    </row>
    <row r="29" spans="1:22" x14ac:dyDescent="0.25">
      <c r="D29"/>
    </row>
    <row r="30" spans="1:22" x14ac:dyDescent="0.25">
      <c r="D30"/>
    </row>
  </sheetData>
  <conditionalFormatting pivot="1" sqref="D4:D26">
    <cfRule type="colorScale" priority="8">
      <colorScale>
        <cfvo type="min"/>
        <cfvo type="percentile" val="50"/>
        <cfvo type="max"/>
        <color rgb="FF92D050"/>
        <color rgb="FFFFFF00"/>
        <color rgb="FFFF0000"/>
      </colorScale>
    </cfRule>
  </conditionalFormatting>
  <conditionalFormatting pivot="1" sqref="D4:D26">
    <cfRule type="colorScale" priority="7">
      <colorScale>
        <cfvo type="min"/>
        <cfvo type="percentile" val="50"/>
        <cfvo type="max"/>
        <color rgb="FF00B050"/>
        <color rgb="FFFFFF00"/>
        <color rgb="FFFF0000"/>
      </colorScale>
    </cfRule>
  </conditionalFormatting>
  <conditionalFormatting pivot="1" sqref="J4:J26">
    <cfRule type="colorScale" priority="6">
      <colorScale>
        <cfvo type="min"/>
        <cfvo type="percentile" val="50"/>
        <cfvo type="max"/>
        <color rgb="FF92D050"/>
        <color rgb="FFFFFF00"/>
        <color rgb="FFFF0000"/>
      </colorScale>
    </cfRule>
  </conditionalFormatting>
  <conditionalFormatting pivot="1" sqref="J4:J26">
    <cfRule type="colorScale" priority="5">
      <colorScale>
        <cfvo type="min"/>
        <cfvo type="percentile" val="50"/>
        <cfvo type="max"/>
        <color rgb="FF00B050"/>
        <color rgb="FFFFFF00"/>
        <color rgb="FFFF0000"/>
      </colorScale>
    </cfRule>
  </conditionalFormatting>
  <conditionalFormatting pivot="1" sqref="P4:P26">
    <cfRule type="colorScale" priority="4">
      <colorScale>
        <cfvo type="min"/>
        <cfvo type="percentile" val="50"/>
        <cfvo type="max"/>
        <color rgb="FF92D050"/>
        <color rgb="FFFFFF00"/>
        <color rgb="FFFF0000"/>
      </colorScale>
    </cfRule>
  </conditionalFormatting>
  <conditionalFormatting pivot="1" sqref="P4:P26">
    <cfRule type="colorScale" priority="3">
      <colorScale>
        <cfvo type="min"/>
        <cfvo type="percentile" val="50"/>
        <cfvo type="max"/>
        <color rgb="FF00B050"/>
        <color rgb="FFFFFF00"/>
        <color rgb="FFFF0000"/>
      </colorScale>
    </cfRule>
  </conditionalFormatting>
  <conditionalFormatting pivot="1" sqref="V4:V26">
    <cfRule type="colorScale" priority="2">
      <colorScale>
        <cfvo type="min"/>
        <cfvo type="percentile" val="50"/>
        <cfvo type="max"/>
        <color rgb="FF92D050"/>
        <color rgb="FFFFFF00"/>
        <color rgb="FFFF0000"/>
      </colorScale>
    </cfRule>
  </conditionalFormatting>
  <conditionalFormatting pivot="1" sqref="V4:V26">
    <cfRule type="colorScale" priority="1">
      <colorScale>
        <cfvo type="min"/>
        <cfvo type="percentile" val="50"/>
        <cfvo type="max"/>
        <color rgb="FF00B050"/>
        <color rgb="FFFFFF00"/>
        <color rgb="FFFF000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37B72-BE92-4A59-B50D-9E383D16D117}">
  <sheetPr codeName="Sheet8"/>
  <dimension ref="A1:E36"/>
  <sheetViews>
    <sheetView workbookViewId="0">
      <selection activeCell="O17" sqref="O17"/>
    </sheetView>
  </sheetViews>
  <sheetFormatPr defaultRowHeight="13.8" x14ac:dyDescent="0.25"/>
  <cols>
    <col min="1" max="1" width="7.6640625" bestFit="1" customWidth="1"/>
    <col min="2" max="2" width="13.44140625" bestFit="1" customWidth="1"/>
    <col min="3" max="3" width="36" bestFit="1" customWidth="1"/>
    <col min="4" max="4" width="17.88671875" bestFit="1" customWidth="1"/>
    <col min="5" max="5" width="10.33203125" bestFit="1" customWidth="1"/>
  </cols>
  <sheetData>
    <row r="1" spans="1:5" x14ac:dyDescent="0.25">
      <c r="A1" s="12" t="s">
        <v>2</v>
      </c>
      <c r="B1" s="12" t="s">
        <v>3</v>
      </c>
      <c r="C1" s="12" t="s">
        <v>4</v>
      </c>
      <c r="D1" s="12" t="s">
        <v>252</v>
      </c>
      <c r="E1" s="12" t="s">
        <v>7</v>
      </c>
    </row>
    <row r="2" spans="1:5" x14ac:dyDescent="0.25">
      <c r="A2" t="s">
        <v>14</v>
      </c>
      <c r="B2" t="s">
        <v>15</v>
      </c>
      <c r="C2" t="s">
        <v>16</v>
      </c>
      <c r="D2" t="s">
        <v>18</v>
      </c>
      <c r="E2" s="13">
        <v>20</v>
      </c>
    </row>
    <row r="3" spans="1:5" x14ac:dyDescent="0.25">
      <c r="A3" t="s">
        <v>21</v>
      </c>
      <c r="B3" t="s">
        <v>22</v>
      </c>
      <c r="C3" t="s">
        <v>23</v>
      </c>
      <c r="D3" t="s">
        <v>25</v>
      </c>
      <c r="E3" s="13">
        <v>15</v>
      </c>
    </row>
    <row r="4" spans="1:5" x14ac:dyDescent="0.25">
      <c r="A4" t="s">
        <v>29</v>
      </c>
      <c r="B4" t="s">
        <v>30</v>
      </c>
      <c r="C4" t="s">
        <v>31</v>
      </c>
      <c r="D4" t="s">
        <v>18</v>
      </c>
      <c r="E4" s="13">
        <v>20</v>
      </c>
    </row>
    <row r="5" spans="1:5" x14ac:dyDescent="0.25">
      <c r="A5" t="s">
        <v>36</v>
      </c>
      <c r="B5" t="s">
        <v>37</v>
      </c>
      <c r="C5" t="s">
        <v>38</v>
      </c>
      <c r="D5" t="s">
        <v>40</v>
      </c>
      <c r="E5" s="14">
        <v>10</v>
      </c>
    </row>
    <row r="6" spans="1:5" x14ac:dyDescent="0.25">
      <c r="A6" t="s">
        <v>43</v>
      </c>
      <c r="B6" t="s">
        <v>44</v>
      </c>
      <c r="C6" t="s">
        <v>45</v>
      </c>
      <c r="D6" t="s">
        <v>18</v>
      </c>
      <c r="E6" s="15">
        <v>12</v>
      </c>
    </row>
    <row r="7" spans="1:5" x14ac:dyDescent="0.25">
      <c r="A7" t="s">
        <v>51</v>
      </c>
      <c r="B7" t="s">
        <v>15</v>
      </c>
      <c r="C7" t="s">
        <v>52</v>
      </c>
      <c r="D7" t="s">
        <v>25</v>
      </c>
      <c r="E7" s="15">
        <v>12</v>
      </c>
    </row>
    <row r="8" spans="1:5" x14ac:dyDescent="0.25">
      <c r="A8" t="s">
        <v>71</v>
      </c>
      <c r="B8" t="s">
        <v>37</v>
      </c>
      <c r="C8" t="s">
        <v>72</v>
      </c>
      <c r="D8" t="s">
        <v>25</v>
      </c>
      <c r="E8" s="13">
        <v>20</v>
      </c>
    </row>
    <row r="9" spans="1:5" x14ac:dyDescent="0.25">
      <c r="A9" t="s">
        <v>77</v>
      </c>
      <c r="B9" t="s">
        <v>44</v>
      </c>
      <c r="C9" t="s">
        <v>78</v>
      </c>
      <c r="D9" t="s">
        <v>18</v>
      </c>
      <c r="E9" s="13">
        <v>20</v>
      </c>
    </row>
    <row r="10" spans="1:5" x14ac:dyDescent="0.25">
      <c r="A10" t="s">
        <v>82</v>
      </c>
      <c r="B10" t="s">
        <v>15</v>
      </c>
      <c r="C10" t="s">
        <v>83</v>
      </c>
      <c r="D10" t="s">
        <v>18</v>
      </c>
      <c r="E10" s="13">
        <v>20</v>
      </c>
    </row>
    <row r="11" spans="1:5" x14ac:dyDescent="0.25">
      <c r="A11" t="s">
        <v>86</v>
      </c>
      <c r="B11" t="s">
        <v>22</v>
      </c>
      <c r="C11" t="s">
        <v>87</v>
      </c>
      <c r="D11" t="s">
        <v>25</v>
      </c>
      <c r="E11" s="15">
        <v>12</v>
      </c>
    </row>
    <row r="12" spans="1:5" x14ac:dyDescent="0.25">
      <c r="A12" t="s">
        <v>91</v>
      </c>
      <c r="B12" t="s">
        <v>30</v>
      </c>
      <c r="C12" t="s">
        <v>92</v>
      </c>
      <c r="D12" t="s">
        <v>18</v>
      </c>
      <c r="E12" s="15">
        <v>12</v>
      </c>
    </row>
    <row r="13" spans="1:5" x14ac:dyDescent="0.25">
      <c r="A13" t="s">
        <v>95</v>
      </c>
      <c r="B13" t="s">
        <v>37</v>
      </c>
      <c r="C13" t="s">
        <v>96</v>
      </c>
      <c r="D13" t="s">
        <v>18</v>
      </c>
      <c r="E13" s="13">
        <v>25</v>
      </c>
    </row>
    <row r="14" spans="1:5" x14ac:dyDescent="0.25">
      <c r="A14" t="s">
        <v>99</v>
      </c>
      <c r="B14" t="s">
        <v>44</v>
      </c>
      <c r="C14" t="s">
        <v>100</v>
      </c>
      <c r="D14" t="s">
        <v>40</v>
      </c>
      <c r="E14" s="13">
        <v>15</v>
      </c>
    </row>
    <row r="15" spans="1:5" x14ac:dyDescent="0.25">
      <c r="A15" t="s">
        <v>103</v>
      </c>
      <c r="B15" t="s">
        <v>15</v>
      </c>
      <c r="C15" t="s">
        <v>104</v>
      </c>
      <c r="D15" t="s">
        <v>18</v>
      </c>
      <c r="E15" s="13">
        <v>20</v>
      </c>
    </row>
    <row r="16" spans="1:5" x14ac:dyDescent="0.25">
      <c r="A16" t="s">
        <v>116</v>
      </c>
      <c r="B16" t="s">
        <v>37</v>
      </c>
      <c r="C16" t="s">
        <v>117</v>
      </c>
      <c r="D16" t="s">
        <v>18</v>
      </c>
      <c r="E16" s="13">
        <v>20</v>
      </c>
    </row>
    <row r="17" spans="1:5" x14ac:dyDescent="0.25">
      <c r="A17" t="s">
        <v>120</v>
      </c>
      <c r="B17" t="s">
        <v>44</v>
      </c>
      <c r="C17" t="s">
        <v>121</v>
      </c>
      <c r="D17" t="s">
        <v>18</v>
      </c>
      <c r="E17" s="13">
        <v>16</v>
      </c>
    </row>
    <row r="18" spans="1:5" x14ac:dyDescent="0.25">
      <c r="A18" t="s">
        <v>125</v>
      </c>
      <c r="B18" t="s">
        <v>15</v>
      </c>
      <c r="C18" t="s">
        <v>126</v>
      </c>
      <c r="D18" t="s">
        <v>25</v>
      </c>
      <c r="E18" s="13">
        <v>16</v>
      </c>
    </row>
    <row r="19" spans="1:5" x14ac:dyDescent="0.25">
      <c r="A19" t="s">
        <v>137</v>
      </c>
      <c r="B19" t="s">
        <v>37</v>
      </c>
      <c r="C19" t="s">
        <v>138</v>
      </c>
      <c r="D19" t="s">
        <v>18</v>
      </c>
      <c r="E19" s="13">
        <v>20</v>
      </c>
    </row>
    <row r="20" spans="1:5" x14ac:dyDescent="0.25">
      <c r="A20" t="s">
        <v>141</v>
      </c>
      <c r="B20" t="s">
        <v>44</v>
      </c>
      <c r="C20" t="s">
        <v>142</v>
      </c>
      <c r="D20" t="s">
        <v>18</v>
      </c>
      <c r="E20" s="13">
        <v>25</v>
      </c>
    </row>
    <row r="21" spans="1:5" x14ac:dyDescent="0.25">
      <c r="A21" t="s">
        <v>145</v>
      </c>
      <c r="B21" t="s">
        <v>15</v>
      </c>
      <c r="C21" t="s">
        <v>146</v>
      </c>
      <c r="D21" t="s">
        <v>25</v>
      </c>
      <c r="E21" s="15">
        <v>12</v>
      </c>
    </row>
    <row r="22" spans="1:5" x14ac:dyDescent="0.25">
      <c r="A22" t="s">
        <v>157</v>
      </c>
      <c r="B22" t="s">
        <v>37</v>
      </c>
      <c r="C22" t="s">
        <v>158</v>
      </c>
      <c r="D22" t="s">
        <v>18</v>
      </c>
      <c r="E22" s="13">
        <v>25</v>
      </c>
    </row>
    <row r="23" spans="1:5" x14ac:dyDescent="0.25">
      <c r="A23" t="s">
        <v>160</v>
      </c>
      <c r="B23" t="s">
        <v>44</v>
      </c>
      <c r="C23" t="s">
        <v>161</v>
      </c>
      <c r="D23" t="s">
        <v>18</v>
      </c>
      <c r="E23" s="15">
        <v>12</v>
      </c>
    </row>
    <row r="24" spans="1:5" x14ac:dyDescent="0.25">
      <c r="A24" t="s">
        <v>164</v>
      </c>
      <c r="B24" t="s">
        <v>15</v>
      </c>
      <c r="C24" t="s">
        <v>165</v>
      </c>
      <c r="D24" t="s">
        <v>18</v>
      </c>
      <c r="E24" s="15">
        <v>12</v>
      </c>
    </row>
    <row r="25" spans="1:5" x14ac:dyDescent="0.25">
      <c r="A25" t="s">
        <v>177</v>
      </c>
      <c r="B25" t="s">
        <v>37</v>
      </c>
      <c r="C25" t="s">
        <v>178</v>
      </c>
      <c r="D25" t="s">
        <v>18</v>
      </c>
      <c r="E25" s="13">
        <v>20</v>
      </c>
    </row>
    <row r="26" spans="1:5" x14ac:dyDescent="0.25">
      <c r="A26" t="s">
        <v>181</v>
      </c>
      <c r="B26" t="s">
        <v>44</v>
      </c>
      <c r="C26" t="s">
        <v>182</v>
      </c>
      <c r="D26" t="s">
        <v>18</v>
      </c>
      <c r="E26" s="13">
        <v>20</v>
      </c>
    </row>
    <row r="27" spans="1:5" x14ac:dyDescent="0.25">
      <c r="A27" t="s">
        <v>189</v>
      </c>
      <c r="B27" t="s">
        <v>22</v>
      </c>
      <c r="C27" t="s">
        <v>190</v>
      </c>
      <c r="D27" t="s">
        <v>25</v>
      </c>
      <c r="E27" s="15">
        <v>12</v>
      </c>
    </row>
    <row r="28" spans="1:5" x14ac:dyDescent="0.25">
      <c r="A28" t="s">
        <v>196</v>
      </c>
      <c r="B28" t="s">
        <v>37</v>
      </c>
      <c r="C28" t="s">
        <v>197</v>
      </c>
      <c r="D28" t="s">
        <v>18</v>
      </c>
      <c r="E28" s="13">
        <v>25</v>
      </c>
    </row>
    <row r="29" spans="1:5" x14ac:dyDescent="0.25">
      <c r="A29" t="s">
        <v>204</v>
      </c>
      <c r="B29" t="s">
        <v>15</v>
      </c>
      <c r="C29" t="s">
        <v>205</v>
      </c>
      <c r="D29" t="s">
        <v>18</v>
      </c>
      <c r="E29" s="13">
        <v>20</v>
      </c>
    </row>
    <row r="30" spans="1:5" x14ac:dyDescent="0.25">
      <c r="A30" t="s">
        <v>209</v>
      </c>
      <c r="B30" t="s">
        <v>22</v>
      </c>
      <c r="C30" t="s">
        <v>210</v>
      </c>
      <c r="D30" t="s">
        <v>25</v>
      </c>
      <c r="E30" s="15">
        <v>12</v>
      </c>
    </row>
    <row r="31" spans="1:5" x14ac:dyDescent="0.25">
      <c r="A31" t="s">
        <v>214</v>
      </c>
      <c r="B31" t="s">
        <v>30</v>
      </c>
      <c r="C31" t="s">
        <v>215</v>
      </c>
      <c r="D31" t="s">
        <v>18</v>
      </c>
      <c r="E31" s="15">
        <v>12</v>
      </c>
    </row>
    <row r="32" spans="1:5" x14ac:dyDescent="0.25">
      <c r="A32" t="s">
        <v>218</v>
      </c>
      <c r="B32" t="s">
        <v>37</v>
      </c>
      <c r="C32" t="s">
        <v>219</v>
      </c>
      <c r="D32" t="s">
        <v>18</v>
      </c>
      <c r="E32" s="13">
        <v>25</v>
      </c>
    </row>
    <row r="33" spans="1:5" x14ac:dyDescent="0.25">
      <c r="A33" t="s">
        <v>222</v>
      </c>
      <c r="B33" t="s">
        <v>44</v>
      </c>
      <c r="C33" t="s">
        <v>223</v>
      </c>
      <c r="D33" t="s">
        <v>18</v>
      </c>
      <c r="E33" s="15">
        <v>12</v>
      </c>
    </row>
    <row r="34" spans="1:5" x14ac:dyDescent="0.25">
      <c r="A34" t="s">
        <v>226</v>
      </c>
      <c r="B34" t="s">
        <v>15</v>
      </c>
      <c r="C34" t="s">
        <v>227</v>
      </c>
      <c r="D34" t="s">
        <v>18</v>
      </c>
      <c r="E34" s="15">
        <v>12</v>
      </c>
    </row>
    <row r="35" spans="1:5" x14ac:dyDescent="0.25">
      <c r="A35" t="s">
        <v>240</v>
      </c>
      <c r="B35" t="s">
        <v>37</v>
      </c>
      <c r="C35" t="s">
        <v>241</v>
      </c>
      <c r="D35" t="s">
        <v>18</v>
      </c>
      <c r="E35" s="13">
        <v>25</v>
      </c>
    </row>
    <row r="36" spans="1:5" x14ac:dyDescent="0.25">
      <c r="A36" t="s">
        <v>244</v>
      </c>
      <c r="B36" t="s">
        <v>44</v>
      </c>
      <c r="C36" t="s">
        <v>245</v>
      </c>
      <c r="D36" t="s">
        <v>18</v>
      </c>
      <c r="E36" s="15">
        <v>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Generate_High_Risk_Report">
                <anchor moveWithCells="1" sizeWithCells="1">
                  <from>
                    <xdr:col>7</xdr:col>
                    <xdr:colOff>22860</xdr:colOff>
                    <xdr:row>1</xdr:row>
                    <xdr:rowOff>38100</xdr:rowOff>
                  </from>
                  <to>
                    <xdr:col>9</xdr:col>
                    <xdr:colOff>601980</xdr:colOff>
                    <xdr:row>2</xdr:row>
                    <xdr:rowOff>167640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Risk Dashboard</vt:lpstr>
      <vt:lpstr>Main Table</vt:lpstr>
      <vt:lpstr>Pivot Table</vt:lpstr>
      <vt:lpstr>High_Risk_Report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Sagor, Mir Md Redwon</dc:creator>
  <cp:keywords/>
  <dc:description/>
  <cp:lastModifiedBy>Redwon Sagor</cp:lastModifiedBy>
  <cp:revision/>
  <dcterms:created xsi:type="dcterms:W3CDTF">2025-02-07T07:51:27Z</dcterms:created>
  <dcterms:modified xsi:type="dcterms:W3CDTF">2025-09-14T03:29:02Z</dcterms:modified>
  <cp:category/>
  <cp:contentStatus/>
</cp:coreProperties>
</file>